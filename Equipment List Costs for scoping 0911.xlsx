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ymcheminc.sharepoint.com/sites/SandwichCapitalProjects/Shared Documents/B902 Expansion/Feasibility Information/HIPO/Shared with Woodley Cole/Asymchem Info/"/>
    </mc:Choice>
  </mc:AlternateContent>
  <xr:revisionPtr revIDLastSave="692" documentId="8_{14D93EE9-4CD8-4D7C-8B97-CB1C4C16F8D8}" xr6:coauthVersionLast="47" xr6:coauthVersionMax="47" xr10:uidLastSave="{469B3518-35B9-4B2A-879E-7027292F1522}"/>
  <bookViews>
    <workbookView xWindow="-120" yWindow="-120" windowWidth="29040" windowHeight="17520" xr2:uid="{2EACF97B-1330-4186-B7E2-515995DFA0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8" i="1" l="1"/>
  <c r="M77" i="1"/>
  <c r="M72" i="1"/>
  <c r="M71" i="1"/>
  <c r="M63" i="1"/>
  <c r="M62" i="1"/>
  <c r="M54" i="1"/>
  <c r="M53" i="1"/>
  <c r="L48" i="1"/>
  <c r="M48" i="1"/>
  <c r="M43" i="1"/>
  <c r="M42" i="1"/>
  <c r="M41" i="1"/>
  <c r="M37" i="1"/>
  <c r="M36" i="1"/>
  <c r="M30" i="1"/>
  <c r="M29" i="1"/>
  <c r="M23" i="1"/>
  <c r="M20" i="1"/>
  <c r="M19" i="1"/>
  <c r="M18" i="1"/>
  <c r="M17" i="1"/>
  <c r="M16" i="1"/>
  <c r="M9" i="1"/>
  <c r="L85" i="1"/>
  <c r="L86" i="1"/>
  <c r="L87" i="1"/>
  <c r="L82" i="1"/>
  <c r="L76" i="1"/>
  <c r="L63" i="1"/>
  <c r="L31" i="1"/>
  <c r="L36" i="1"/>
  <c r="L29" i="1"/>
  <c r="L17" i="1"/>
  <c r="L19" i="1"/>
  <c r="L21" i="1"/>
  <c r="K81" i="1"/>
  <c r="K82" i="1"/>
  <c r="K83" i="1"/>
  <c r="L83" i="1" s="1"/>
  <c r="K80" i="1"/>
  <c r="L80" i="1" s="1"/>
  <c r="K48" i="1"/>
  <c r="K16" i="1"/>
  <c r="L16" i="1" s="1"/>
  <c r="K4" i="1"/>
  <c r="K5" i="1"/>
  <c r="K6" i="1"/>
  <c r="K7" i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7" i="1"/>
  <c r="K18" i="1"/>
  <c r="L18" i="1" s="1"/>
  <c r="K19" i="1"/>
  <c r="K20" i="1"/>
  <c r="L20" i="1" s="1"/>
  <c r="K22" i="1"/>
  <c r="L22" i="1" s="1"/>
  <c r="K23" i="1"/>
  <c r="L23" i="1" s="1"/>
  <c r="K24" i="1"/>
  <c r="K25" i="1"/>
  <c r="K26" i="1"/>
  <c r="K27" i="1"/>
  <c r="K28" i="1"/>
  <c r="K29" i="1"/>
  <c r="K30" i="1"/>
  <c r="L30" i="1" s="1"/>
  <c r="K32" i="1"/>
  <c r="L32" i="1" s="1"/>
  <c r="K33" i="1"/>
  <c r="L33" i="1" s="1"/>
  <c r="K34" i="1"/>
  <c r="L34" i="1" s="1"/>
  <c r="K35" i="1"/>
  <c r="L35" i="1" s="1"/>
  <c r="K36" i="1"/>
  <c r="K37" i="1"/>
  <c r="L37" i="1" s="1"/>
  <c r="K38" i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K46" i="1"/>
  <c r="K47" i="1"/>
  <c r="L47" i="1" s="1"/>
  <c r="K51" i="1"/>
  <c r="K52" i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K64" i="1"/>
  <c r="L64" i="1" s="1"/>
  <c r="K65" i="1"/>
  <c r="L65" i="1" s="1"/>
  <c r="K66" i="1"/>
  <c r="L66" i="1" s="1"/>
  <c r="K67" i="1"/>
  <c r="K68" i="1"/>
  <c r="L68" i="1" s="1"/>
  <c r="K69" i="1"/>
  <c r="L69" i="1" s="1"/>
  <c r="K71" i="1"/>
  <c r="L71" i="1" s="1"/>
  <c r="K78" i="1"/>
  <c r="L78" i="1" s="1"/>
  <c r="K77" i="1"/>
  <c r="L77" i="1" s="1"/>
  <c r="K79" i="1"/>
  <c r="L79" i="1" s="1"/>
  <c r="K76" i="1"/>
  <c r="K84" i="1"/>
  <c r="L84" i="1" s="1"/>
  <c r="K88" i="1"/>
  <c r="L88" i="1" s="1"/>
  <c r="K72" i="1"/>
  <c r="L72" i="1" s="1"/>
  <c r="K73" i="1"/>
  <c r="K3" i="1"/>
  <c r="L3" i="1" s="1"/>
  <c r="M95" i="1" l="1"/>
  <c r="L95" i="1"/>
  <c r="K95" i="1"/>
</calcChain>
</file>

<file path=xl/sharedStrings.xml><?xml version="1.0" encoding="utf-8"?>
<sst xmlns="http://schemas.openxmlformats.org/spreadsheetml/2006/main" count="303" uniqueCount="196">
  <si>
    <t>Group</t>
  </si>
  <si>
    <t xml:space="preserve">Location </t>
  </si>
  <si>
    <t>Title</t>
  </si>
  <si>
    <t>Manufacturer</t>
  </si>
  <si>
    <t>Model</t>
  </si>
  <si>
    <t>Qty</t>
  </si>
  <si>
    <t>GMP</t>
  </si>
  <si>
    <t>New or Exisitng</t>
  </si>
  <si>
    <t>Phase 1 or 2</t>
  </si>
  <si>
    <t>Cost</t>
  </si>
  <si>
    <t>Total Cost</t>
  </si>
  <si>
    <t>To Purchase Cos</t>
  </si>
  <si>
    <t>Phse 1 costs</t>
  </si>
  <si>
    <t>Utility Requirements</t>
  </si>
  <si>
    <t>Comments</t>
  </si>
  <si>
    <t>ARD/QC</t>
  </si>
  <si>
    <t>Room 2</t>
  </si>
  <si>
    <t>HPLC System</t>
  </si>
  <si>
    <t>Aglient Technologies</t>
  </si>
  <si>
    <t>1290 Infinity 3</t>
  </si>
  <si>
    <t>N</t>
  </si>
  <si>
    <t>Power: 230V, Single Phase, Type G</t>
  </si>
  <si>
    <t>Bench top</t>
  </si>
  <si>
    <t>G7117A DAD</t>
  </si>
  <si>
    <t>G7116B MCT</t>
  </si>
  <si>
    <t>G7167B Multisampler</t>
  </si>
  <si>
    <t>G7120A Highspeed Pump</t>
  </si>
  <si>
    <t>HPLC/Mass Spectrometer System</t>
  </si>
  <si>
    <t>Agilent Technologies</t>
  </si>
  <si>
    <t xml:space="preserve"> G7120A Highspeed Pump, </t>
  </si>
  <si>
    <t>Power: 230V, Single Phase, Type G
Nitrogen
Exhaust</t>
  </si>
  <si>
    <t>G7167B Multisampler,</t>
  </si>
  <si>
    <t xml:space="preserve"> G7118B MCT, </t>
  </si>
  <si>
    <t>G7117B DAD,</t>
  </si>
  <si>
    <t xml:space="preserve"> G6160A Infinity Lab </t>
  </si>
  <si>
    <t>LC/MSD iQ Mass Spectrometer</t>
  </si>
  <si>
    <t>Vacuum Pump with Quiet Cover, Mobile Stand</t>
  </si>
  <si>
    <t>or GCMS</t>
  </si>
  <si>
    <t xml:space="preserve">N  </t>
  </si>
  <si>
    <t>nitrogen gas generator</t>
  </si>
  <si>
    <t xml:space="preserve">N </t>
  </si>
  <si>
    <t>hydrogen gas generator</t>
  </si>
  <si>
    <t>Benchtop</t>
  </si>
  <si>
    <t>Electronic Pipette</t>
  </si>
  <si>
    <t>Handystep</t>
  </si>
  <si>
    <t>Undersink</t>
  </si>
  <si>
    <t>MILLIQ</t>
  </si>
  <si>
    <t>Millipore</t>
  </si>
  <si>
    <t>IQ 7000 ?</t>
  </si>
  <si>
    <t>Large Fumehood</t>
  </si>
  <si>
    <t>Prep HPLC</t>
  </si>
  <si>
    <t>Hanbon</t>
  </si>
  <si>
    <t>Newstyle NS 4330</t>
  </si>
  <si>
    <t>Fumhood</t>
  </si>
  <si>
    <t xml:space="preserve">pH </t>
  </si>
  <si>
    <t xml:space="preserve">Mettler Toledo  </t>
  </si>
  <si>
    <t>SevenExcellence</t>
  </si>
  <si>
    <t>SFC</t>
  </si>
  <si>
    <t>Waters</t>
  </si>
  <si>
    <t>Acquity UPC2</t>
  </si>
  <si>
    <t>E</t>
  </si>
  <si>
    <t>Power: 230V, Single Phase, Type G
Liquid CO2</t>
  </si>
  <si>
    <t>Might be less depending on the actual configuration. Maybe able to use equipment upstairs, depends on philosophy</t>
  </si>
  <si>
    <t>Bench top (if sapce is limited, remove another FH?)</t>
  </si>
  <si>
    <t>GC</t>
  </si>
  <si>
    <t>Aglient</t>
  </si>
  <si>
    <t>8890B GC</t>
  </si>
  <si>
    <t>Power: 230V, Single Phase, Type G
Helium
Nitrogen</t>
  </si>
  <si>
    <t>Maybe able to use equipment upstairs, depends on philosophy</t>
  </si>
  <si>
    <t>Mass Spec</t>
  </si>
  <si>
    <t>1290 Infinty 2</t>
  </si>
  <si>
    <t>Fumehood</t>
  </si>
  <si>
    <t>KF Coulimetric</t>
  </si>
  <si>
    <t>Metrohm</t>
  </si>
  <si>
    <t>852 Titrando</t>
  </si>
  <si>
    <t>Balance</t>
  </si>
  <si>
    <t>Isolators</t>
  </si>
  <si>
    <t>Room 3</t>
  </si>
  <si>
    <t>Isolator 2</t>
  </si>
  <si>
    <r>
      <t>DSC3 Star System (</t>
    </r>
    <r>
      <rPr>
        <sz val="11"/>
        <color rgb="FFFF0000"/>
        <rFont val="Aptos Narrow"/>
        <family val="2"/>
        <scheme val="minor"/>
      </rPr>
      <t>or TGA?</t>
    </r>
    <r>
      <rPr>
        <sz val="11"/>
        <color theme="1"/>
        <rFont val="Aptos Narrow"/>
        <family val="2"/>
        <scheme val="minor"/>
      </rPr>
      <t>)</t>
    </r>
  </si>
  <si>
    <t>Mettler Toledo</t>
  </si>
  <si>
    <t>Under isolator 2</t>
  </si>
  <si>
    <t>Huber TC45 with immersion cooler</t>
  </si>
  <si>
    <t>Huber</t>
  </si>
  <si>
    <t>TC45</t>
  </si>
  <si>
    <t>Isolator 1</t>
  </si>
  <si>
    <t>T50</t>
  </si>
  <si>
    <t xml:space="preserve">Benchtop Powder X-ray Diffractor </t>
  </si>
  <si>
    <t>D2</t>
  </si>
  <si>
    <t>Bruker</t>
  </si>
  <si>
    <t>Isolator 5</t>
  </si>
  <si>
    <t>Particle Size</t>
  </si>
  <si>
    <t>Malvern</t>
  </si>
  <si>
    <t>Mastersizer</t>
  </si>
  <si>
    <t>Lyophiliser</t>
  </si>
  <si>
    <t>Tofflon</t>
  </si>
  <si>
    <t>tbc</t>
  </si>
  <si>
    <t>Analytical Balance</t>
  </si>
  <si>
    <t>XP205</t>
  </si>
  <si>
    <t>isolator 1</t>
  </si>
  <si>
    <t>Microbalance</t>
  </si>
  <si>
    <t>isolator 3</t>
  </si>
  <si>
    <t>Easymax Reactor System</t>
  </si>
  <si>
    <t>Easymax 102</t>
  </si>
  <si>
    <t>Mettler Tolesdo SP-50 Dosing units</t>
  </si>
  <si>
    <t>SP-50</t>
  </si>
  <si>
    <t>under isolator 3</t>
  </si>
  <si>
    <t>Chiller unit</t>
  </si>
  <si>
    <t>Julabo</t>
  </si>
  <si>
    <t>FL1703</t>
  </si>
  <si>
    <t>Filtration equipment</t>
  </si>
  <si>
    <t>Isolator 4</t>
  </si>
  <si>
    <t>Drying Oven</t>
  </si>
  <si>
    <t>Salvis</t>
  </si>
  <si>
    <t>Vacucentre VC50</t>
  </si>
  <si>
    <t>N/E</t>
  </si>
  <si>
    <t>Power: 230V, Single Phase, Type G
Vacuum</t>
  </si>
  <si>
    <t>FTIR</t>
  </si>
  <si>
    <t>Thermo</t>
  </si>
  <si>
    <t>NICOLET APEX KBR WITH PURGE KIT</t>
  </si>
  <si>
    <t>Isolator</t>
  </si>
  <si>
    <t>Crystal 16</t>
  </si>
  <si>
    <t>CRD</t>
  </si>
  <si>
    <t>Room 4</t>
  </si>
  <si>
    <t>Laboratory Fridge</t>
  </si>
  <si>
    <t>Lec</t>
  </si>
  <si>
    <t>Laboratory Freezer</t>
  </si>
  <si>
    <t>FH1</t>
  </si>
  <si>
    <t xml:space="preserve">Reactor Ready Twin reactor </t>
  </si>
  <si>
    <t xml:space="preserve">Reactor Ready vessels </t>
  </si>
  <si>
    <t>Mettler Toledo SP-50 Dosing units</t>
  </si>
  <si>
    <t>RX10 Controller</t>
  </si>
  <si>
    <t>Heidolph Motors</t>
  </si>
  <si>
    <t>Reactor Ready Stand</t>
  </si>
  <si>
    <t>Vacuum Pump</t>
  </si>
  <si>
    <t>Vacuubrand</t>
  </si>
  <si>
    <t>PC3001 Vario Plus</t>
  </si>
  <si>
    <t>Recirculating Chiller</t>
  </si>
  <si>
    <t xml:space="preserve">Huber </t>
  </si>
  <si>
    <t>Ministat 240</t>
  </si>
  <si>
    <t>Either/or</t>
  </si>
  <si>
    <t>Large Scale Balance</t>
  </si>
  <si>
    <t>Sartorius</t>
  </si>
  <si>
    <t>FH2</t>
  </si>
  <si>
    <t>Power: 230V, Single Phase, Type G
Nitrogen</t>
  </si>
  <si>
    <t>FH3</t>
  </si>
  <si>
    <t>Stem blocks</t>
  </si>
  <si>
    <t>Electrothermal</t>
  </si>
  <si>
    <t>Stirrer hotplate</t>
  </si>
  <si>
    <t>IKA</t>
  </si>
  <si>
    <t>FBRM/BLAZE/PVM</t>
  </si>
  <si>
    <t>Cryst can determine which item based on their preference.</t>
  </si>
  <si>
    <t>FH4 - Flexible</t>
  </si>
  <si>
    <t>Biotage</t>
  </si>
  <si>
    <t>F150  or F75? and UV monitor</t>
  </si>
  <si>
    <t>Power</t>
  </si>
  <si>
    <t>F150 - 250-500g  
F75 - 40-100g</t>
  </si>
  <si>
    <t>Rotary Evaporator</t>
  </si>
  <si>
    <t>Heidolph</t>
  </si>
  <si>
    <t>HEI-VAP Expert</t>
  </si>
  <si>
    <t>For rotary evaporator</t>
  </si>
  <si>
    <t>UV Lamp/viewer</t>
  </si>
  <si>
    <t>Heat gun</t>
  </si>
  <si>
    <t>Hydrogenation BCP2</t>
  </si>
  <si>
    <t>power hydrogen from lecture bottles</t>
  </si>
  <si>
    <t>Overhead stirrer</t>
  </si>
  <si>
    <t>compressed air, power</t>
  </si>
  <si>
    <t>Software</t>
  </si>
  <si>
    <t>TBD</t>
  </si>
  <si>
    <t>Miscellaneous</t>
  </si>
  <si>
    <t>Dishwasher/glasswash</t>
  </si>
  <si>
    <t>Miele</t>
  </si>
  <si>
    <t>Undercounter Laboratory Glassware Washer PG8583CD</t>
  </si>
  <si>
    <t>This might be too big for the space but entered in for estimate.</t>
  </si>
  <si>
    <t>Crystallisation equipment??</t>
  </si>
  <si>
    <t>GC Extract?</t>
  </si>
  <si>
    <t>Label Printers?</t>
  </si>
  <si>
    <t>Telephone?</t>
  </si>
  <si>
    <t>Total Costs</t>
  </si>
  <si>
    <t>All Costs</t>
  </si>
  <si>
    <t>To purchase costs</t>
  </si>
  <si>
    <t>Remove unless identified as a need but got 1 LCMS</t>
  </si>
  <si>
    <r>
      <rPr>
        <sz val="11"/>
        <color rgb="FF000000"/>
        <rFont val="Aptos Narrow"/>
        <scheme val="minor"/>
      </rPr>
      <t>Auto</t>
    </r>
    <r>
      <rPr>
        <sz val="11"/>
        <rFont val="Aptos Narrow"/>
        <family val="2"/>
        <scheme val="minor"/>
      </rPr>
      <t xml:space="preserve"> Titrator </t>
    </r>
  </si>
  <si>
    <t>Mettler Toledo T50 propose phase 2.  Can be diluted and run on existing.  Expect low frequency of need</t>
  </si>
  <si>
    <t>Moving to quote for future peptide lab</t>
  </si>
  <si>
    <t>Propose to source from CRD</t>
  </si>
  <si>
    <t>0.01-299.99 ml/min 
CE availability TBC.  Update quote.  Poss move to costs for future peptide lab</t>
  </si>
  <si>
    <t>Cost reduced based on recent quote for peptide lab.</t>
  </si>
  <si>
    <t>Must be in dedicated facility due to powder handling</t>
  </si>
  <si>
    <t>Malvern system from Boston. Must be in dedicated facility due to powder handling</t>
  </si>
  <si>
    <t>Includes GMP software and IQ/OQ. Must be in dedicated facility due to powder handling</t>
  </si>
  <si>
    <t>Essentially glassware.  Could purchase pump or connect to house vac - both would have in-line filters. Must be in dedicated facility due to powder handling</t>
  </si>
  <si>
    <t>Propose 2 ovens.  Could repurpose unused one in 1.112? Must be in dedicated facility due to powder handling</t>
  </si>
  <si>
    <t xml:space="preserve"> includes Hardware, software and installation from Chennai, no good information on system suitability. Must be in dedicated facility due to powder handling</t>
  </si>
  <si>
    <t>from Chennai. Must be in dedicated facility due to powder handling</t>
  </si>
  <si>
    <t>Only 1 in phase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</si>
</sst>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&quot;£&quot;#,##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6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7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0" xfId="0" applyNumberFormat="1"/>
    <xf numFmtId="3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top"/>
    </xf>
    <xf numFmtId="164" fontId="0" fillId="0" borderId="9" xfId="0" applyNumberFormat="1" applyBorder="1"/>
    <xf numFmtId="0" fontId="1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top"/>
    </xf>
    <xf numFmtId="164" fontId="0" fillId="0" borderId="7" xfId="0" applyNumberFormat="1" applyBorder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7" xfId="0" applyFont="1" applyBorder="1"/>
    <xf numFmtId="0" fontId="1" fillId="0" borderId="5" xfId="0" applyFont="1" applyBorder="1"/>
    <xf numFmtId="164" fontId="0" fillId="0" borderId="10" xfId="0" applyNumberFormat="1" applyBorder="1"/>
    <xf numFmtId="6" fontId="1" fillId="0" borderId="1" xfId="0" applyNumberFormat="1" applyFont="1" applyBorder="1"/>
    <xf numFmtId="164" fontId="0" fillId="0" borderId="13" xfId="0" applyNumberFormat="1" applyBorder="1"/>
    <xf numFmtId="164" fontId="0" fillId="0" borderId="8" xfId="0" applyNumberFormat="1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3" borderId="0" xfId="0" applyFill="1"/>
    <xf numFmtId="164" fontId="0" fillId="3" borderId="0" xfId="0" applyNumberFormat="1" applyFill="1"/>
    <xf numFmtId="164" fontId="0" fillId="4" borderId="0" xfId="0" applyNumberFormat="1" applyFill="1"/>
    <xf numFmtId="164" fontId="0" fillId="4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0" fillId="5" borderId="1" xfId="0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9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0" fillId="5" borderId="5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64" fontId="0" fillId="0" borderId="15" xfId="0" applyNumberFormat="1" applyBorder="1"/>
    <xf numFmtId="164" fontId="0" fillId="0" borderId="12" xfId="0" applyNumberFormat="1" applyBorder="1"/>
    <xf numFmtId="164" fontId="0" fillId="0" borderId="6" xfId="0" applyNumberFormat="1" applyBorder="1"/>
    <xf numFmtId="3" fontId="1" fillId="0" borderId="1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9DF0-E8EA-4DBF-8B66-85136B063762}">
  <dimension ref="A1:O96"/>
  <sheetViews>
    <sheetView tabSelected="1" topLeftCell="B1" workbookViewId="0">
      <pane ySplit="1" topLeftCell="A46" activePane="bottomLeft" state="frozen"/>
      <selection pane="bottomLeft" activeCell="M68" sqref="M68"/>
    </sheetView>
  </sheetViews>
  <sheetFormatPr defaultRowHeight="14.5" x14ac:dyDescent="0.35"/>
  <cols>
    <col min="1" max="1" width="12.81640625" customWidth="1"/>
    <col min="2" max="2" width="19" customWidth="1"/>
    <col min="3" max="3" width="34" customWidth="1"/>
    <col min="4" max="4" width="34.26953125" hidden="1" customWidth="1"/>
    <col min="5" max="5" width="46.453125" hidden="1" customWidth="1"/>
    <col min="6" max="7" width="7.1796875" style="1" customWidth="1"/>
    <col min="8" max="8" width="19.26953125" style="1" customWidth="1"/>
    <col min="9" max="9" width="19.26953125" style="61" customWidth="1"/>
    <col min="10" max="10" width="16.7265625" customWidth="1"/>
    <col min="11" max="11" width="16.7265625" style="23" customWidth="1"/>
    <col min="12" max="13" width="20.7265625" style="23" customWidth="1"/>
    <col min="14" max="14" width="32.1796875" customWidth="1"/>
    <col min="15" max="15" width="38.453125" style="38" customWidth="1"/>
  </cols>
  <sheetData>
    <row r="1" spans="1:1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7" t="s">
        <v>8</v>
      </c>
      <c r="J1" s="6" t="s">
        <v>9</v>
      </c>
      <c r="K1" s="19" t="s">
        <v>10</v>
      </c>
      <c r="L1" s="19" t="s">
        <v>11</v>
      </c>
      <c r="M1" s="19" t="s">
        <v>12</v>
      </c>
      <c r="N1" s="6" t="s">
        <v>13</v>
      </c>
      <c r="O1" s="33" t="s">
        <v>14</v>
      </c>
    </row>
    <row r="2" spans="1:15" x14ac:dyDescent="0.35">
      <c r="A2" s="2"/>
      <c r="B2" s="2"/>
      <c r="C2" s="2"/>
      <c r="D2" s="2"/>
      <c r="E2" s="2"/>
      <c r="F2" s="3"/>
      <c r="G2" s="3"/>
      <c r="H2" s="3"/>
      <c r="I2" s="59"/>
      <c r="J2" s="2"/>
      <c r="K2" s="20"/>
      <c r="L2" s="20"/>
      <c r="M2" s="20"/>
      <c r="N2" s="2"/>
      <c r="O2" s="4"/>
    </row>
    <row r="3" spans="1:15" ht="29" x14ac:dyDescent="0.35">
      <c r="A3" s="2" t="s">
        <v>15</v>
      </c>
      <c r="B3" s="2" t="s">
        <v>16</v>
      </c>
      <c r="C3" s="2" t="s">
        <v>17</v>
      </c>
      <c r="D3" s="2" t="s">
        <v>18</v>
      </c>
      <c r="E3" s="4" t="s">
        <v>19</v>
      </c>
      <c r="F3" s="3">
        <v>2</v>
      </c>
      <c r="G3" s="3"/>
      <c r="H3" s="3" t="s">
        <v>20</v>
      </c>
      <c r="I3" s="59">
        <v>1</v>
      </c>
      <c r="J3" s="71">
        <v>100000</v>
      </c>
      <c r="K3" s="20">
        <f t="shared" ref="K3:K35" si="0">F3*J3</f>
        <v>200000</v>
      </c>
      <c r="L3" s="20">
        <f>K3</f>
        <v>200000</v>
      </c>
      <c r="M3" s="42">
        <v>100000</v>
      </c>
      <c r="N3" s="2" t="s">
        <v>21</v>
      </c>
      <c r="O3" s="4" t="s">
        <v>187</v>
      </c>
    </row>
    <row r="4" spans="1:15" x14ac:dyDescent="0.35">
      <c r="A4" s="2"/>
      <c r="B4" s="2" t="s">
        <v>22</v>
      </c>
      <c r="C4" s="2"/>
      <c r="D4" s="2"/>
      <c r="E4" s="2" t="s">
        <v>23</v>
      </c>
      <c r="F4" s="3"/>
      <c r="G4" s="3"/>
      <c r="H4" s="3"/>
      <c r="I4" s="59"/>
      <c r="J4" s="2"/>
      <c r="K4" s="20">
        <f t="shared" si="0"/>
        <v>0</v>
      </c>
      <c r="L4" s="20"/>
      <c r="M4" s="20"/>
      <c r="N4" s="2"/>
      <c r="O4" s="4"/>
    </row>
    <row r="5" spans="1:15" x14ac:dyDescent="0.35">
      <c r="A5" s="2"/>
      <c r="B5" s="2"/>
      <c r="C5" s="2"/>
      <c r="D5" s="2"/>
      <c r="E5" s="2" t="s">
        <v>24</v>
      </c>
      <c r="F5" s="3"/>
      <c r="G5" s="3"/>
      <c r="H5" s="3"/>
      <c r="I5" s="59"/>
      <c r="J5" s="2"/>
      <c r="K5" s="20">
        <f t="shared" si="0"/>
        <v>0</v>
      </c>
      <c r="L5" s="20"/>
      <c r="M5" s="20"/>
      <c r="N5" s="2"/>
      <c r="O5" s="4"/>
    </row>
    <row r="6" spans="1:15" x14ac:dyDescent="0.35">
      <c r="A6" s="2"/>
      <c r="B6" s="2"/>
      <c r="C6" s="2"/>
      <c r="D6" s="2"/>
      <c r="E6" s="2" t="s">
        <v>25</v>
      </c>
      <c r="F6" s="3"/>
      <c r="G6" s="3"/>
      <c r="H6" s="3"/>
      <c r="I6" s="59"/>
      <c r="J6" s="2"/>
      <c r="K6" s="20">
        <f t="shared" si="0"/>
        <v>0</v>
      </c>
      <c r="L6" s="20"/>
      <c r="M6" s="20"/>
      <c r="N6" s="2"/>
      <c r="O6" s="4"/>
    </row>
    <row r="7" spans="1:15" x14ac:dyDescent="0.35">
      <c r="A7" s="2"/>
      <c r="B7" s="2"/>
      <c r="C7" s="2"/>
      <c r="D7" s="2"/>
      <c r="E7" s="2" t="s">
        <v>26</v>
      </c>
      <c r="F7" s="3"/>
      <c r="G7" s="3"/>
      <c r="H7" s="3"/>
      <c r="I7" s="59"/>
      <c r="J7" s="2"/>
      <c r="K7" s="20">
        <f t="shared" si="0"/>
        <v>0</v>
      </c>
      <c r="L7" s="20"/>
      <c r="M7" s="20"/>
      <c r="N7" s="2"/>
      <c r="O7" s="4"/>
    </row>
    <row r="8" spans="1:15" x14ac:dyDescent="0.35">
      <c r="A8" s="2"/>
      <c r="B8" s="2"/>
      <c r="C8" s="2"/>
      <c r="D8" s="2"/>
      <c r="E8" s="2"/>
      <c r="F8" s="3"/>
      <c r="G8" s="3"/>
      <c r="H8" s="3"/>
      <c r="I8" s="59"/>
      <c r="J8" s="2"/>
      <c r="K8" s="20">
        <f t="shared" si="0"/>
        <v>0</v>
      </c>
      <c r="L8" s="20"/>
      <c r="M8" s="20"/>
      <c r="N8" s="2"/>
      <c r="O8" s="4"/>
    </row>
    <row r="9" spans="1:15" ht="43.5" x14ac:dyDescent="0.35">
      <c r="A9" s="2"/>
      <c r="B9" s="2" t="s">
        <v>22</v>
      </c>
      <c r="C9" s="2" t="s">
        <v>27</v>
      </c>
      <c r="D9" s="2" t="s">
        <v>28</v>
      </c>
      <c r="E9" s="2" t="s">
        <v>29</v>
      </c>
      <c r="F9" s="3">
        <v>1</v>
      </c>
      <c r="G9" s="3"/>
      <c r="H9" s="3" t="s">
        <v>20</v>
      </c>
      <c r="I9" s="59">
        <v>1</v>
      </c>
      <c r="J9" s="24">
        <v>200000</v>
      </c>
      <c r="K9" s="20">
        <f t="shared" si="0"/>
        <v>200000</v>
      </c>
      <c r="L9" s="20">
        <f>K9</f>
        <v>200000</v>
      </c>
      <c r="M9" s="20">
        <f>L9</f>
        <v>200000</v>
      </c>
      <c r="N9" s="4" t="s">
        <v>30</v>
      </c>
      <c r="O9" s="4"/>
    </row>
    <row r="10" spans="1:15" x14ac:dyDescent="0.35">
      <c r="A10" s="2"/>
      <c r="B10" s="2"/>
      <c r="C10" s="2"/>
      <c r="D10" s="2"/>
      <c r="E10" s="2" t="s">
        <v>31</v>
      </c>
      <c r="F10" s="3">
        <v>1</v>
      </c>
      <c r="G10" s="3"/>
      <c r="H10" s="3"/>
      <c r="I10" s="59"/>
      <c r="J10" s="2"/>
      <c r="K10" s="20">
        <f t="shared" si="0"/>
        <v>0</v>
      </c>
      <c r="L10" s="20">
        <f t="shared" ref="L10:L23" si="1">K10</f>
        <v>0</v>
      </c>
      <c r="M10" s="20"/>
      <c r="N10" s="2"/>
      <c r="O10" s="4"/>
    </row>
    <row r="11" spans="1:15" x14ac:dyDescent="0.35">
      <c r="A11" s="2"/>
      <c r="B11" s="2"/>
      <c r="C11" s="2"/>
      <c r="D11" s="2"/>
      <c r="E11" s="2" t="s">
        <v>32</v>
      </c>
      <c r="F11" s="3">
        <v>1</v>
      </c>
      <c r="G11" s="3"/>
      <c r="H11" s="3"/>
      <c r="I11" s="59"/>
      <c r="J11" s="2"/>
      <c r="K11" s="20">
        <f t="shared" si="0"/>
        <v>0</v>
      </c>
      <c r="L11" s="20">
        <f t="shared" si="1"/>
        <v>0</v>
      </c>
      <c r="M11" s="20"/>
      <c r="N11" s="2"/>
      <c r="O11" s="4"/>
    </row>
    <row r="12" spans="1:15" x14ac:dyDescent="0.35">
      <c r="A12" s="2"/>
      <c r="B12" s="2"/>
      <c r="C12" s="2"/>
      <c r="D12" s="2"/>
      <c r="E12" s="2" t="s">
        <v>33</v>
      </c>
      <c r="F12" s="3">
        <v>1</v>
      </c>
      <c r="G12" s="3"/>
      <c r="H12" s="3"/>
      <c r="I12" s="59"/>
      <c r="J12" s="2"/>
      <c r="K12" s="20">
        <f t="shared" si="0"/>
        <v>0</v>
      </c>
      <c r="L12" s="20">
        <f t="shared" si="1"/>
        <v>0</v>
      </c>
      <c r="M12" s="20"/>
      <c r="N12" s="2"/>
      <c r="O12" s="4"/>
    </row>
    <row r="13" spans="1:15" x14ac:dyDescent="0.35">
      <c r="A13" s="2"/>
      <c r="B13" s="2"/>
      <c r="C13" s="2"/>
      <c r="D13" s="2"/>
      <c r="E13" s="2" t="s">
        <v>34</v>
      </c>
      <c r="F13" s="3">
        <v>1</v>
      </c>
      <c r="G13" s="3"/>
      <c r="H13" s="3"/>
      <c r="I13" s="59"/>
      <c r="J13" s="2"/>
      <c r="K13" s="20">
        <f t="shared" si="0"/>
        <v>0</v>
      </c>
      <c r="L13" s="20">
        <f t="shared" si="1"/>
        <v>0</v>
      </c>
      <c r="M13" s="20"/>
      <c r="N13" s="2"/>
      <c r="O13" s="4"/>
    </row>
    <row r="14" spans="1:15" x14ac:dyDescent="0.35">
      <c r="A14" s="2"/>
      <c r="B14" s="2"/>
      <c r="C14" s="2"/>
      <c r="D14" s="2"/>
      <c r="E14" s="2" t="s">
        <v>35</v>
      </c>
      <c r="F14" s="3">
        <v>1</v>
      </c>
      <c r="G14" s="3"/>
      <c r="H14" s="3"/>
      <c r="I14" s="59"/>
      <c r="J14" s="2"/>
      <c r="K14" s="20">
        <f t="shared" si="0"/>
        <v>0</v>
      </c>
      <c r="L14" s="20">
        <f t="shared" si="1"/>
        <v>0</v>
      </c>
      <c r="M14" s="20"/>
      <c r="N14" s="2"/>
      <c r="O14" s="4"/>
    </row>
    <row r="15" spans="1:15" x14ac:dyDescent="0.35">
      <c r="A15" s="2"/>
      <c r="B15" s="2"/>
      <c r="C15" s="2"/>
      <c r="D15" s="2"/>
      <c r="E15" s="4" t="s">
        <v>36</v>
      </c>
      <c r="F15" s="3">
        <v>1</v>
      </c>
      <c r="G15" s="3"/>
      <c r="H15" s="3"/>
      <c r="I15" s="59"/>
      <c r="J15" s="2"/>
      <c r="K15" s="20">
        <f t="shared" si="0"/>
        <v>0</v>
      </c>
      <c r="L15" s="20">
        <f t="shared" si="1"/>
        <v>0</v>
      </c>
      <c r="M15" s="20"/>
      <c r="N15" s="2"/>
      <c r="O15" s="4"/>
    </row>
    <row r="16" spans="1:15" x14ac:dyDescent="0.35">
      <c r="A16" s="2"/>
      <c r="B16" s="2" t="s">
        <v>37</v>
      </c>
      <c r="C16" s="5"/>
      <c r="D16" s="5"/>
      <c r="E16" s="4"/>
      <c r="F16" s="3">
        <v>1</v>
      </c>
      <c r="G16" s="3"/>
      <c r="H16" s="3" t="s">
        <v>38</v>
      </c>
      <c r="I16" s="59">
        <v>1</v>
      </c>
      <c r="J16" s="2">
        <v>120000</v>
      </c>
      <c r="K16" s="20">
        <f>F16*J16</f>
        <v>120000</v>
      </c>
      <c r="L16" s="20">
        <f t="shared" si="1"/>
        <v>120000</v>
      </c>
      <c r="M16" s="20">
        <f>L16</f>
        <v>120000</v>
      </c>
      <c r="N16" s="2"/>
      <c r="O16" s="4"/>
    </row>
    <row r="17" spans="1:15" x14ac:dyDescent="0.35">
      <c r="A17" s="2"/>
      <c r="B17" s="2"/>
      <c r="C17" s="2" t="s">
        <v>39</v>
      </c>
      <c r="D17" s="2"/>
      <c r="E17" s="2"/>
      <c r="F17" s="3">
        <v>1</v>
      </c>
      <c r="G17" s="3"/>
      <c r="H17" s="3" t="s">
        <v>40</v>
      </c>
      <c r="I17" s="59">
        <v>1</v>
      </c>
      <c r="J17" s="24">
        <v>8000</v>
      </c>
      <c r="K17" s="20">
        <f t="shared" si="0"/>
        <v>8000</v>
      </c>
      <c r="L17" s="20">
        <f t="shared" si="1"/>
        <v>8000</v>
      </c>
      <c r="M17" s="20">
        <f>L17</f>
        <v>8000</v>
      </c>
      <c r="N17" s="2"/>
      <c r="O17" s="4"/>
    </row>
    <row r="18" spans="1:15" x14ac:dyDescent="0.35">
      <c r="A18" s="2"/>
      <c r="B18" s="2"/>
      <c r="C18" s="2" t="s">
        <v>41</v>
      </c>
      <c r="D18" s="2"/>
      <c r="E18" s="2"/>
      <c r="F18" s="3">
        <v>1</v>
      </c>
      <c r="G18" s="3"/>
      <c r="H18" s="3" t="s">
        <v>40</v>
      </c>
      <c r="I18" s="59">
        <v>1</v>
      </c>
      <c r="J18" s="24">
        <v>8000</v>
      </c>
      <c r="K18" s="20">
        <f t="shared" si="0"/>
        <v>8000</v>
      </c>
      <c r="L18" s="20">
        <f t="shared" si="1"/>
        <v>8000</v>
      </c>
      <c r="M18" s="20">
        <f>L18</f>
        <v>8000</v>
      </c>
      <c r="N18" s="2"/>
      <c r="O18" s="4"/>
    </row>
    <row r="19" spans="1:15" x14ac:dyDescent="0.35">
      <c r="A19" s="2"/>
      <c r="B19" s="2" t="s">
        <v>42</v>
      </c>
      <c r="C19" s="2" t="s">
        <v>43</v>
      </c>
      <c r="D19" s="2" t="s">
        <v>44</v>
      </c>
      <c r="E19" s="2"/>
      <c r="F19" s="3">
        <v>2</v>
      </c>
      <c r="G19" s="3"/>
      <c r="H19" s="3" t="s">
        <v>20</v>
      </c>
      <c r="I19" s="59">
        <v>1</v>
      </c>
      <c r="J19" s="9">
        <v>800</v>
      </c>
      <c r="K19" s="20">
        <f t="shared" si="0"/>
        <v>1600</v>
      </c>
      <c r="L19" s="20">
        <f t="shared" si="1"/>
        <v>1600</v>
      </c>
      <c r="M19" s="20">
        <f>L19</f>
        <v>1600</v>
      </c>
      <c r="N19" s="2" t="s">
        <v>21</v>
      </c>
      <c r="O19" s="4"/>
    </row>
    <row r="20" spans="1:15" x14ac:dyDescent="0.35">
      <c r="A20" s="2"/>
      <c r="B20" s="2" t="s">
        <v>45</v>
      </c>
      <c r="C20" s="2" t="s">
        <v>46</v>
      </c>
      <c r="D20" s="2" t="s">
        <v>47</v>
      </c>
      <c r="E20" s="2" t="s">
        <v>48</v>
      </c>
      <c r="F20" s="3">
        <v>1</v>
      </c>
      <c r="G20" s="3"/>
      <c r="H20" s="3" t="s">
        <v>20</v>
      </c>
      <c r="I20" s="59">
        <v>1</v>
      </c>
      <c r="J20" s="2">
        <v>20000</v>
      </c>
      <c r="K20" s="20">
        <f t="shared" si="0"/>
        <v>20000</v>
      </c>
      <c r="L20" s="20">
        <f t="shared" si="1"/>
        <v>20000</v>
      </c>
      <c r="M20" s="20">
        <f>L20</f>
        <v>20000</v>
      </c>
      <c r="N20" s="2"/>
      <c r="O20" s="4"/>
    </row>
    <row r="21" spans="1:15" ht="43.5" x14ac:dyDescent="0.35">
      <c r="A21" s="2"/>
      <c r="B21" s="2" t="s">
        <v>49</v>
      </c>
      <c r="C21" s="2" t="s">
        <v>50</v>
      </c>
      <c r="D21" s="2" t="s">
        <v>51</v>
      </c>
      <c r="E21" s="2" t="s">
        <v>52</v>
      </c>
      <c r="F21" s="3">
        <v>1</v>
      </c>
      <c r="G21" s="3"/>
      <c r="H21" s="3" t="s">
        <v>20</v>
      </c>
      <c r="I21" s="59">
        <v>2</v>
      </c>
      <c r="J21" s="29">
        <v>70000</v>
      </c>
      <c r="K21" s="42">
        <v>70000</v>
      </c>
      <c r="L21" s="42">
        <f t="shared" si="1"/>
        <v>70000</v>
      </c>
      <c r="M21" s="20"/>
      <c r="N21" s="2" t="s">
        <v>21</v>
      </c>
      <c r="O21" s="43" t="s">
        <v>186</v>
      </c>
    </row>
    <row r="22" spans="1:15" x14ac:dyDescent="0.35">
      <c r="A22" s="2"/>
      <c r="B22" s="2"/>
      <c r="C22" s="2"/>
      <c r="D22" s="2"/>
      <c r="E22" s="2"/>
      <c r="F22" s="3"/>
      <c r="G22" s="3"/>
      <c r="H22" s="3"/>
      <c r="I22" s="59"/>
      <c r="J22" s="2"/>
      <c r="K22" s="20">
        <f t="shared" si="0"/>
        <v>0</v>
      </c>
      <c r="L22" s="20">
        <f t="shared" si="1"/>
        <v>0</v>
      </c>
      <c r="M22" s="20"/>
      <c r="N22" s="2"/>
      <c r="O22" s="4"/>
    </row>
    <row r="23" spans="1:15" x14ac:dyDescent="0.35">
      <c r="A23" s="2"/>
      <c r="B23" s="2" t="s">
        <v>53</v>
      </c>
      <c r="C23" s="2" t="s">
        <v>54</v>
      </c>
      <c r="D23" s="2" t="s">
        <v>55</v>
      </c>
      <c r="E23" s="2" t="s">
        <v>56</v>
      </c>
      <c r="F23" s="3">
        <v>1</v>
      </c>
      <c r="G23" s="3"/>
      <c r="H23" s="3" t="s">
        <v>38</v>
      </c>
      <c r="I23" s="59">
        <v>1</v>
      </c>
      <c r="J23" s="2">
        <v>20000</v>
      </c>
      <c r="K23" s="20">
        <f t="shared" si="0"/>
        <v>20000</v>
      </c>
      <c r="L23" s="20">
        <f t="shared" si="1"/>
        <v>20000</v>
      </c>
      <c r="M23" s="20">
        <f>L23</f>
        <v>20000</v>
      </c>
      <c r="N23" s="2" t="s">
        <v>21</v>
      </c>
      <c r="O23" s="4"/>
    </row>
    <row r="24" spans="1:15" x14ac:dyDescent="0.35">
      <c r="A24" s="2"/>
      <c r="B24" s="2"/>
      <c r="C24" s="2"/>
      <c r="D24" s="2"/>
      <c r="E24" s="2"/>
      <c r="F24" s="3"/>
      <c r="G24" s="3"/>
      <c r="H24" s="3"/>
      <c r="I24" s="59"/>
      <c r="J24" s="2"/>
      <c r="K24" s="20">
        <f t="shared" si="0"/>
        <v>0</v>
      </c>
      <c r="L24" s="20"/>
      <c r="M24" s="20"/>
      <c r="N24" s="2"/>
      <c r="O24" s="4"/>
    </row>
    <row r="25" spans="1:15" s="44" customFormat="1" ht="43.5" x14ac:dyDescent="0.35">
      <c r="A25" s="29"/>
      <c r="B25" s="29" t="s">
        <v>22</v>
      </c>
      <c r="C25" s="29" t="s">
        <v>57</v>
      </c>
      <c r="D25" s="29" t="s">
        <v>58</v>
      </c>
      <c r="E25" s="29" t="s">
        <v>59</v>
      </c>
      <c r="F25" s="41">
        <v>1</v>
      </c>
      <c r="G25" s="41"/>
      <c r="H25" s="41" t="s">
        <v>60</v>
      </c>
      <c r="I25" s="60">
        <v>2</v>
      </c>
      <c r="J25" s="29">
        <v>150000</v>
      </c>
      <c r="K25" s="42">
        <f t="shared" si="0"/>
        <v>150000</v>
      </c>
      <c r="L25" s="42"/>
      <c r="M25" s="42"/>
      <c r="N25" s="43" t="s">
        <v>61</v>
      </c>
      <c r="O25" s="43" t="s">
        <v>62</v>
      </c>
    </row>
    <row r="26" spans="1:15" x14ac:dyDescent="0.35">
      <c r="A26" s="2"/>
      <c r="B26" s="2"/>
      <c r="C26" s="2"/>
      <c r="D26" s="2"/>
      <c r="E26" s="2"/>
      <c r="F26" s="3"/>
      <c r="G26" s="3"/>
      <c r="H26" s="3"/>
      <c r="I26" s="59"/>
      <c r="J26" s="2"/>
      <c r="K26" s="20">
        <f t="shared" si="0"/>
        <v>0</v>
      </c>
      <c r="L26" s="20"/>
      <c r="M26" s="20"/>
      <c r="N26" s="2"/>
      <c r="O26" s="4"/>
    </row>
    <row r="27" spans="1:15" s="44" customFormat="1" ht="43.5" x14ac:dyDescent="0.35">
      <c r="A27" s="29"/>
      <c r="B27" s="43" t="s">
        <v>63</v>
      </c>
      <c r="C27" s="29" t="s">
        <v>64</v>
      </c>
      <c r="D27" s="29" t="s">
        <v>65</v>
      </c>
      <c r="E27" s="29" t="s">
        <v>66</v>
      </c>
      <c r="F27" s="41">
        <v>1</v>
      </c>
      <c r="G27" s="41"/>
      <c r="H27" s="41" t="s">
        <v>60</v>
      </c>
      <c r="I27" s="60">
        <v>2</v>
      </c>
      <c r="J27" s="29">
        <v>80000</v>
      </c>
      <c r="K27" s="42">
        <f t="shared" si="0"/>
        <v>80000</v>
      </c>
      <c r="L27" s="42"/>
      <c r="M27" s="42"/>
      <c r="N27" s="43" t="s">
        <v>67</v>
      </c>
      <c r="O27" s="43" t="s">
        <v>68</v>
      </c>
    </row>
    <row r="28" spans="1:15" x14ac:dyDescent="0.35">
      <c r="A28" s="2"/>
      <c r="B28" s="2"/>
      <c r="C28" s="2"/>
      <c r="D28" s="2"/>
      <c r="E28" s="2"/>
      <c r="F28" s="3"/>
      <c r="G28" s="3"/>
      <c r="H28" s="3"/>
      <c r="I28" s="59"/>
      <c r="J28" s="2"/>
      <c r="K28" s="20">
        <f t="shared" si="0"/>
        <v>0</v>
      </c>
      <c r="L28" s="20"/>
      <c r="M28" s="20"/>
      <c r="N28" s="2"/>
      <c r="O28" s="4"/>
    </row>
    <row r="29" spans="1:15" s="44" customFormat="1" ht="43.5" x14ac:dyDescent="0.35">
      <c r="A29" s="29"/>
      <c r="B29" s="29" t="s">
        <v>22</v>
      </c>
      <c r="C29" s="29" t="s">
        <v>69</v>
      </c>
      <c r="D29" s="29" t="s">
        <v>65</v>
      </c>
      <c r="E29" s="29" t="s">
        <v>70</v>
      </c>
      <c r="F29" s="41">
        <v>1</v>
      </c>
      <c r="G29" s="41"/>
      <c r="H29" s="41" t="s">
        <v>20</v>
      </c>
      <c r="I29" s="60">
        <v>1</v>
      </c>
      <c r="J29" s="29">
        <v>140000</v>
      </c>
      <c r="K29" s="42">
        <f t="shared" si="0"/>
        <v>140000</v>
      </c>
      <c r="L29" s="42">
        <f>K29</f>
        <v>140000</v>
      </c>
      <c r="M29" s="42">
        <f>L29</f>
        <v>140000</v>
      </c>
      <c r="N29" s="43" t="s">
        <v>30</v>
      </c>
      <c r="O29" s="43" t="s">
        <v>181</v>
      </c>
    </row>
    <row r="30" spans="1:15" ht="29" x14ac:dyDescent="0.35">
      <c r="A30" s="2"/>
      <c r="B30" s="2" t="s">
        <v>71</v>
      </c>
      <c r="C30" s="2" t="s">
        <v>72</v>
      </c>
      <c r="D30" s="2" t="s">
        <v>73</v>
      </c>
      <c r="E30" s="2" t="s">
        <v>74</v>
      </c>
      <c r="F30" s="3">
        <v>1</v>
      </c>
      <c r="G30" s="3"/>
      <c r="H30" s="3" t="s">
        <v>38</v>
      </c>
      <c r="I30" s="59">
        <v>1</v>
      </c>
      <c r="J30" s="2">
        <v>45000</v>
      </c>
      <c r="K30" s="20">
        <f t="shared" si="0"/>
        <v>45000</v>
      </c>
      <c r="L30" s="20">
        <f t="shared" ref="L30:L37" si="2">K30</f>
        <v>45000</v>
      </c>
      <c r="M30" s="20">
        <f>L30</f>
        <v>45000</v>
      </c>
      <c r="N30" s="2" t="s">
        <v>21</v>
      </c>
      <c r="O30" s="43" t="s">
        <v>188</v>
      </c>
    </row>
    <row r="31" spans="1:15" x14ac:dyDescent="0.35">
      <c r="B31" s="45" t="s">
        <v>75</v>
      </c>
      <c r="L31" s="20">
        <f t="shared" si="2"/>
        <v>0</v>
      </c>
    </row>
    <row r="32" spans="1:15" x14ac:dyDescent="0.35">
      <c r="A32" s="2"/>
      <c r="B32" s="2"/>
      <c r="C32" s="2"/>
      <c r="D32" s="2"/>
      <c r="E32" s="2"/>
      <c r="F32" s="3"/>
      <c r="G32" s="3"/>
      <c r="H32" s="3"/>
      <c r="I32" s="59"/>
      <c r="J32" s="2"/>
      <c r="K32" s="20">
        <f t="shared" si="0"/>
        <v>0</v>
      </c>
      <c r="L32" s="20">
        <f t="shared" si="2"/>
        <v>0</v>
      </c>
      <c r="M32" s="20"/>
      <c r="N32" s="2"/>
      <c r="O32" s="4"/>
    </row>
    <row r="33" spans="1:15" x14ac:dyDescent="0.35">
      <c r="A33" s="2" t="s">
        <v>76</v>
      </c>
      <c r="B33" s="2" t="s">
        <v>77</v>
      </c>
      <c r="C33" s="2"/>
      <c r="D33" s="2"/>
      <c r="E33" s="2"/>
      <c r="F33" s="3"/>
      <c r="G33" s="3"/>
      <c r="H33" s="3"/>
      <c r="I33" s="59"/>
      <c r="J33" s="2"/>
      <c r="K33" s="20">
        <f t="shared" si="0"/>
        <v>0</v>
      </c>
      <c r="L33" s="20">
        <f t="shared" si="2"/>
        <v>0</v>
      </c>
      <c r="M33" s="20"/>
      <c r="N33" s="2"/>
      <c r="O33" s="4"/>
    </row>
    <row r="34" spans="1:15" x14ac:dyDescent="0.35">
      <c r="A34" s="2"/>
      <c r="B34" s="2"/>
      <c r="C34" s="2"/>
      <c r="D34" s="2"/>
      <c r="E34" s="2"/>
      <c r="F34" s="3"/>
      <c r="G34" s="3"/>
      <c r="H34" s="3"/>
      <c r="I34" s="59"/>
      <c r="J34" s="2"/>
      <c r="K34" s="20">
        <f t="shared" si="0"/>
        <v>0</v>
      </c>
      <c r="L34" s="20">
        <f t="shared" si="2"/>
        <v>0</v>
      </c>
      <c r="M34" s="20"/>
      <c r="N34" s="2"/>
      <c r="O34" s="4"/>
    </row>
    <row r="35" spans="1:15" ht="29" x14ac:dyDescent="0.35">
      <c r="A35" s="2"/>
      <c r="B35" s="2" t="s">
        <v>78</v>
      </c>
      <c r="C35" s="2" t="s">
        <v>79</v>
      </c>
      <c r="D35" s="2" t="s">
        <v>80</v>
      </c>
      <c r="E35" s="2"/>
      <c r="F35" s="3">
        <v>1</v>
      </c>
      <c r="G35" s="3"/>
      <c r="H35" s="3"/>
      <c r="I35" s="59">
        <v>1</v>
      </c>
      <c r="J35" s="2"/>
      <c r="K35" s="20">
        <f t="shared" si="0"/>
        <v>0</v>
      </c>
      <c r="L35" s="20">
        <f t="shared" si="2"/>
        <v>0</v>
      </c>
      <c r="M35" s="20"/>
      <c r="N35" s="2"/>
      <c r="O35" s="43" t="s">
        <v>188</v>
      </c>
    </row>
    <row r="36" spans="1:15" x14ac:dyDescent="0.35">
      <c r="A36" s="2"/>
      <c r="B36" s="2" t="s">
        <v>81</v>
      </c>
      <c r="C36" s="2" t="s">
        <v>82</v>
      </c>
      <c r="D36" s="2" t="s">
        <v>83</v>
      </c>
      <c r="E36" s="2" t="s">
        <v>84</v>
      </c>
      <c r="F36" s="3">
        <v>1</v>
      </c>
      <c r="G36" s="3"/>
      <c r="H36" s="3"/>
      <c r="I36" s="59">
        <v>1</v>
      </c>
      <c r="J36" s="9">
        <v>4345</v>
      </c>
      <c r="K36" s="20">
        <f t="shared" ref="K36:K69" si="3">F36*J36</f>
        <v>4345</v>
      </c>
      <c r="L36" s="20">
        <f t="shared" si="2"/>
        <v>4345</v>
      </c>
      <c r="M36" s="20">
        <f>L36</f>
        <v>4345</v>
      </c>
      <c r="N36" s="2" t="s">
        <v>21</v>
      </c>
      <c r="O36" s="4"/>
    </row>
    <row r="37" spans="1:15" ht="43.5" x14ac:dyDescent="0.35">
      <c r="A37" s="2"/>
      <c r="B37" s="2" t="s">
        <v>85</v>
      </c>
      <c r="C37" s="29" t="s">
        <v>182</v>
      </c>
      <c r="D37" s="2" t="s">
        <v>80</v>
      </c>
      <c r="E37" s="2" t="s">
        <v>86</v>
      </c>
      <c r="F37" s="3">
        <v>1</v>
      </c>
      <c r="G37" s="3"/>
      <c r="H37" s="3" t="s">
        <v>20</v>
      </c>
      <c r="I37" s="59">
        <v>2</v>
      </c>
      <c r="J37" s="24">
        <v>30000</v>
      </c>
      <c r="K37" s="20">
        <f t="shared" si="3"/>
        <v>30000</v>
      </c>
      <c r="L37" s="20">
        <f t="shared" si="2"/>
        <v>30000</v>
      </c>
      <c r="M37" s="20">
        <f>L37</f>
        <v>30000</v>
      </c>
      <c r="N37" s="2"/>
      <c r="O37" s="43" t="s">
        <v>183</v>
      </c>
    </row>
    <row r="38" spans="1:15" s="44" customFormat="1" ht="29" x14ac:dyDescent="0.35">
      <c r="A38" s="29"/>
      <c r="B38" s="29" t="s">
        <v>42</v>
      </c>
      <c r="C38" s="29" t="s">
        <v>87</v>
      </c>
      <c r="D38" s="29" t="s">
        <v>88</v>
      </c>
      <c r="E38" s="29" t="s">
        <v>89</v>
      </c>
      <c r="F38" s="41">
        <v>1</v>
      </c>
      <c r="G38" s="41"/>
      <c r="H38" s="41" t="s">
        <v>60</v>
      </c>
      <c r="I38" s="60">
        <v>1</v>
      </c>
      <c r="J38" s="29">
        <v>200000</v>
      </c>
      <c r="K38" s="42">
        <f t="shared" si="3"/>
        <v>200000</v>
      </c>
      <c r="L38" s="42"/>
      <c r="M38" s="42"/>
      <c r="N38" s="29"/>
      <c r="O38" s="43" t="s">
        <v>189</v>
      </c>
    </row>
    <row r="39" spans="1:15" ht="29" x14ac:dyDescent="0.35">
      <c r="A39" s="2"/>
      <c r="B39" s="2" t="s">
        <v>90</v>
      </c>
      <c r="C39" s="2" t="s">
        <v>91</v>
      </c>
      <c r="D39" s="2" t="s">
        <v>92</v>
      </c>
      <c r="E39" s="2" t="s">
        <v>93</v>
      </c>
      <c r="F39" s="3">
        <v>1</v>
      </c>
      <c r="G39" s="3"/>
      <c r="H39" s="3" t="s">
        <v>20</v>
      </c>
      <c r="I39" s="59">
        <v>2</v>
      </c>
      <c r="J39" s="2">
        <v>160000</v>
      </c>
      <c r="K39" s="20">
        <f t="shared" si="3"/>
        <v>160000</v>
      </c>
      <c r="L39" s="20">
        <f>K39</f>
        <v>160000</v>
      </c>
      <c r="M39" s="20"/>
      <c r="N39" s="2"/>
      <c r="O39" s="43" t="s">
        <v>190</v>
      </c>
    </row>
    <row r="40" spans="1:15" s="44" customFormat="1" x14ac:dyDescent="0.35">
      <c r="A40" s="29"/>
      <c r="B40" s="29" t="s">
        <v>42</v>
      </c>
      <c r="C40" s="29" t="s">
        <v>94</v>
      </c>
      <c r="D40" s="29" t="s">
        <v>95</v>
      </c>
      <c r="E40" s="29" t="s">
        <v>96</v>
      </c>
      <c r="F40" s="41">
        <v>1</v>
      </c>
      <c r="G40" s="41"/>
      <c r="H40" s="41" t="s">
        <v>20</v>
      </c>
      <c r="I40" s="60"/>
      <c r="J40" s="29">
        <v>0</v>
      </c>
      <c r="K40" s="42">
        <f t="shared" si="3"/>
        <v>0</v>
      </c>
      <c r="L40" s="42">
        <f t="shared" ref="L40:L44" si="4">K40</f>
        <v>0</v>
      </c>
      <c r="M40" s="42"/>
      <c r="N40" s="29"/>
      <c r="O40" s="43" t="s">
        <v>184</v>
      </c>
    </row>
    <row r="41" spans="1:15" ht="29" x14ac:dyDescent="0.35">
      <c r="A41" s="2"/>
      <c r="B41" s="2" t="s">
        <v>85</v>
      </c>
      <c r="C41" s="2" t="s">
        <v>97</v>
      </c>
      <c r="D41" s="2" t="s">
        <v>80</v>
      </c>
      <c r="E41" s="2" t="s">
        <v>98</v>
      </c>
      <c r="F41" s="3">
        <v>1</v>
      </c>
      <c r="G41" s="3"/>
      <c r="H41" s="3"/>
      <c r="I41" s="59">
        <v>1</v>
      </c>
      <c r="J41" s="9">
        <v>20000</v>
      </c>
      <c r="K41" s="20">
        <f t="shared" si="3"/>
        <v>20000</v>
      </c>
      <c r="L41" s="20">
        <f t="shared" si="4"/>
        <v>20000</v>
      </c>
      <c r="M41" s="20">
        <f>L41</f>
        <v>20000</v>
      </c>
      <c r="N41" s="2" t="s">
        <v>21</v>
      </c>
      <c r="O41" s="43" t="s">
        <v>188</v>
      </c>
    </row>
    <row r="42" spans="1:15" ht="29" x14ac:dyDescent="0.35">
      <c r="A42" s="2"/>
      <c r="B42" s="2" t="s">
        <v>99</v>
      </c>
      <c r="C42" s="2" t="s">
        <v>100</v>
      </c>
      <c r="D42" s="2"/>
      <c r="E42" s="2"/>
      <c r="F42" s="3">
        <v>1</v>
      </c>
      <c r="G42" s="3"/>
      <c r="H42" s="3" t="s">
        <v>20</v>
      </c>
      <c r="I42" s="59">
        <v>1</v>
      </c>
      <c r="J42" s="9">
        <v>25000</v>
      </c>
      <c r="K42" s="20">
        <f t="shared" si="3"/>
        <v>25000</v>
      </c>
      <c r="L42" s="20">
        <f t="shared" si="4"/>
        <v>25000</v>
      </c>
      <c r="M42" s="20">
        <f>L42</f>
        <v>25000</v>
      </c>
      <c r="N42" s="2" t="s">
        <v>21</v>
      </c>
      <c r="O42" s="43" t="s">
        <v>188</v>
      </c>
    </row>
    <row r="43" spans="1:15" ht="29" x14ac:dyDescent="0.35">
      <c r="A43" s="2"/>
      <c r="B43" s="2" t="s">
        <v>101</v>
      </c>
      <c r="C43" s="2" t="s">
        <v>102</v>
      </c>
      <c r="D43" s="2" t="s">
        <v>80</v>
      </c>
      <c r="E43" s="2" t="s">
        <v>103</v>
      </c>
      <c r="F43" s="3">
        <v>1</v>
      </c>
      <c r="G43" s="3"/>
      <c r="H43" s="3" t="s">
        <v>20</v>
      </c>
      <c r="I43" s="59">
        <v>1</v>
      </c>
      <c r="J43" s="24">
        <v>80000</v>
      </c>
      <c r="K43" s="20">
        <f t="shared" si="3"/>
        <v>80000</v>
      </c>
      <c r="L43" s="20">
        <f t="shared" si="4"/>
        <v>80000</v>
      </c>
      <c r="M43" s="20">
        <f>L43</f>
        <v>80000</v>
      </c>
      <c r="N43" s="2"/>
      <c r="O43" s="43" t="s">
        <v>188</v>
      </c>
    </row>
    <row r="44" spans="1:15" x14ac:dyDescent="0.35">
      <c r="A44" s="2"/>
      <c r="B44" s="2"/>
      <c r="C44" s="2"/>
      <c r="D44" s="2" t="s">
        <v>104</v>
      </c>
      <c r="E44" s="2" t="s">
        <v>105</v>
      </c>
      <c r="F44" s="3">
        <v>1</v>
      </c>
      <c r="G44" s="3"/>
      <c r="H44" s="3" t="s">
        <v>20</v>
      </c>
      <c r="I44" s="59">
        <v>1</v>
      </c>
      <c r="J44" s="2"/>
      <c r="K44" s="20">
        <f t="shared" si="3"/>
        <v>0</v>
      </c>
      <c r="L44" s="20">
        <f t="shared" si="4"/>
        <v>0</v>
      </c>
      <c r="M44" s="20"/>
      <c r="N44" s="2"/>
      <c r="O44" s="4"/>
    </row>
    <row r="45" spans="1:15" x14ac:dyDescent="0.35">
      <c r="A45" s="2"/>
      <c r="B45" s="2" t="s">
        <v>106</v>
      </c>
      <c r="C45" s="2" t="s">
        <v>107</v>
      </c>
      <c r="D45" s="2" t="s">
        <v>108</v>
      </c>
      <c r="E45" s="2" t="s">
        <v>109</v>
      </c>
      <c r="F45" s="3">
        <v>1</v>
      </c>
      <c r="G45" s="3"/>
      <c r="H45" s="41" t="s">
        <v>60</v>
      </c>
      <c r="I45" s="60">
        <v>1</v>
      </c>
      <c r="J45" s="48">
        <v>12000</v>
      </c>
      <c r="K45" s="42">
        <f t="shared" si="3"/>
        <v>12000</v>
      </c>
      <c r="L45" s="20"/>
      <c r="M45" s="20"/>
      <c r="N45" s="2" t="s">
        <v>21</v>
      </c>
      <c r="O45" s="4"/>
    </row>
    <row r="46" spans="1:15" ht="58" x14ac:dyDescent="0.35">
      <c r="A46" s="2"/>
      <c r="B46" s="2" t="s">
        <v>101</v>
      </c>
      <c r="C46" s="2" t="s">
        <v>110</v>
      </c>
      <c r="D46" s="2"/>
      <c r="E46" s="2"/>
      <c r="F46" s="3"/>
      <c r="G46" s="3"/>
      <c r="H46" s="3"/>
      <c r="I46" s="59"/>
      <c r="J46" s="2"/>
      <c r="K46" s="20">
        <f t="shared" si="3"/>
        <v>0</v>
      </c>
      <c r="L46" s="20"/>
      <c r="M46" s="20"/>
      <c r="N46" s="2"/>
      <c r="O46" s="43" t="s">
        <v>191</v>
      </c>
    </row>
    <row r="47" spans="1:15" ht="43.5" x14ac:dyDescent="0.35">
      <c r="A47" s="2"/>
      <c r="B47" s="2" t="s">
        <v>111</v>
      </c>
      <c r="C47" s="2" t="s">
        <v>112</v>
      </c>
      <c r="D47" s="2" t="s">
        <v>113</v>
      </c>
      <c r="E47" s="2" t="s">
        <v>114</v>
      </c>
      <c r="F47" s="3">
        <v>2</v>
      </c>
      <c r="G47" s="3"/>
      <c r="H47" s="3" t="s">
        <v>115</v>
      </c>
      <c r="I47" s="59">
        <v>1</v>
      </c>
      <c r="J47" s="9">
        <v>18000</v>
      </c>
      <c r="K47" s="20">
        <f t="shared" si="3"/>
        <v>36000</v>
      </c>
      <c r="L47" s="20">
        <f>K47</f>
        <v>36000</v>
      </c>
      <c r="M47" s="20">
        <v>18000</v>
      </c>
      <c r="N47" s="4" t="s">
        <v>116</v>
      </c>
      <c r="O47" s="4" t="s">
        <v>192</v>
      </c>
    </row>
    <row r="48" spans="1:15" ht="58" x14ac:dyDescent="0.35">
      <c r="A48" s="2"/>
      <c r="B48" s="2" t="s">
        <v>78</v>
      </c>
      <c r="C48" s="2" t="s">
        <v>117</v>
      </c>
      <c r="D48" s="2" t="s">
        <v>118</v>
      </c>
      <c r="E48" s="2" t="s">
        <v>119</v>
      </c>
      <c r="F48" s="3">
        <v>1</v>
      </c>
      <c r="G48" s="3"/>
      <c r="H48" s="3" t="s">
        <v>60</v>
      </c>
      <c r="I48" s="59">
        <v>1</v>
      </c>
      <c r="J48" s="9">
        <v>28000</v>
      </c>
      <c r="K48" s="20">
        <f>F48*J48</f>
        <v>28000</v>
      </c>
      <c r="L48" s="20">
        <f>K48</f>
        <v>28000</v>
      </c>
      <c r="M48" s="20">
        <f>K48</f>
        <v>28000</v>
      </c>
      <c r="N48" s="2"/>
      <c r="O48" s="43" t="s">
        <v>193</v>
      </c>
    </row>
    <row r="49" spans="1:15" ht="29" x14ac:dyDescent="0.35">
      <c r="A49" s="2"/>
      <c r="B49" s="2" t="s">
        <v>120</v>
      </c>
      <c r="C49" s="2" t="s">
        <v>121</v>
      </c>
      <c r="D49" s="2"/>
      <c r="E49" s="2"/>
      <c r="F49" s="3">
        <v>1</v>
      </c>
      <c r="G49" s="3"/>
      <c r="H49" s="3" t="s">
        <v>60</v>
      </c>
      <c r="I49" s="59">
        <v>1</v>
      </c>
      <c r="J49" s="9"/>
      <c r="K49" s="20"/>
      <c r="L49" s="20"/>
      <c r="M49" s="20"/>
      <c r="N49" s="2"/>
      <c r="O49" s="4" t="s">
        <v>194</v>
      </c>
    </row>
    <row r="50" spans="1:15" x14ac:dyDescent="0.35">
      <c r="A50" s="2"/>
      <c r="B50" s="2"/>
      <c r="C50" s="2"/>
      <c r="D50" s="2"/>
      <c r="E50" s="2"/>
      <c r="F50" s="3"/>
      <c r="G50" s="3"/>
      <c r="H50" s="3"/>
      <c r="I50" s="59"/>
      <c r="J50" s="9"/>
      <c r="K50" s="20"/>
      <c r="L50" s="20"/>
      <c r="M50" s="20"/>
      <c r="N50" s="2"/>
      <c r="O50" s="4"/>
    </row>
    <row r="51" spans="1:15" x14ac:dyDescent="0.35">
      <c r="A51" s="2"/>
      <c r="B51" s="2"/>
      <c r="C51" s="2"/>
      <c r="D51" s="2"/>
      <c r="E51" s="2"/>
      <c r="F51" s="3"/>
      <c r="G51" s="3"/>
      <c r="H51" s="3"/>
      <c r="I51" s="59"/>
      <c r="J51" s="2"/>
      <c r="K51" s="20">
        <f t="shared" si="3"/>
        <v>0</v>
      </c>
      <c r="L51" s="20"/>
      <c r="M51" s="20"/>
      <c r="N51" s="2"/>
      <c r="O51" s="4"/>
    </row>
    <row r="52" spans="1:15" x14ac:dyDescent="0.35">
      <c r="A52" s="2"/>
      <c r="B52" s="2"/>
      <c r="C52" s="2"/>
      <c r="D52" s="2"/>
      <c r="E52" s="2"/>
      <c r="F52" s="3"/>
      <c r="G52" s="3"/>
      <c r="H52" s="3"/>
      <c r="I52" s="59"/>
      <c r="J52" s="2"/>
      <c r="K52" s="20">
        <f t="shared" si="3"/>
        <v>0</v>
      </c>
      <c r="L52" s="20"/>
      <c r="M52" s="20"/>
      <c r="N52" s="2"/>
      <c r="O52" s="4"/>
    </row>
    <row r="53" spans="1:15" x14ac:dyDescent="0.35">
      <c r="A53" s="2" t="s">
        <v>122</v>
      </c>
      <c r="B53" s="2" t="s">
        <v>123</v>
      </c>
      <c r="C53" s="2" t="s">
        <v>124</v>
      </c>
      <c r="D53" s="2" t="s">
        <v>125</v>
      </c>
      <c r="E53" s="2"/>
      <c r="F53" s="3">
        <v>1</v>
      </c>
      <c r="G53" s="3"/>
      <c r="H53" s="3"/>
      <c r="I53" s="59">
        <v>1</v>
      </c>
      <c r="J53" s="9">
        <v>750</v>
      </c>
      <c r="K53" s="20">
        <f t="shared" si="3"/>
        <v>750</v>
      </c>
      <c r="L53" s="20">
        <f>K53</f>
        <v>750</v>
      </c>
      <c r="M53" s="20">
        <f>L53</f>
        <v>750</v>
      </c>
      <c r="N53" s="2" t="s">
        <v>21</v>
      </c>
      <c r="O53" s="4"/>
    </row>
    <row r="54" spans="1:15" x14ac:dyDescent="0.35">
      <c r="A54" s="2"/>
      <c r="B54" s="2"/>
      <c r="C54" s="2" t="s">
        <v>126</v>
      </c>
      <c r="D54" s="2" t="s">
        <v>125</v>
      </c>
      <c r="E54" s="2"/>
      <c r="F54" s="3">
        <v>1</v>
      </c>
      <c r="G54" s="3"/>
      <c r="H54" s="3"/>
      <c r="I54" s="59">
        <v>1</v>
      </c>
      <c r="J54" s="9">
        <v>750</v>
      </c>
      <c r="K54" s="20">
        <f t="shared" si="3"/>
        <v>750</v>
      </c>
      <c r="L54" s="20">
        <f t="shared" ref="L54:L72" si="5">K54</f>
        <v>750</v>
      </c>
      <c r="M54" s="20">
        <f>L54</f>
        <v>750</v>
      </c>
      <c r="N54" s="2" t="s">
        <v>21</v>
      </c>
      <c r="O54" s="4"/>
    </row>
    <row r="55" spans="1:15" x14ac:dyDescent="0.35">
      <c r="A55" s="2"/>
      <c r="B55" s="2" t="s">
        <v>127</v>
      </c>
      <c r="C55" s="2" t="s">
        <v>128</v>
      </c>
      <c r="D55" s="2" t="s">
        <v>129</v>
      </c>
      <c r="E55" s="4"/>
      <c r="F55" s="3">
        <v>2</v>
      </c>
      <c r="G55" s="3"/>
      <c r="H55" s="3" t="s">
        <v>20</v>
      </c>
      <c r="I55" s="59">
        <v>2</v>
      </c>
      <c r="J55" s="2">
        <v>10000</v>
      </c>
      <c r="K55" s="20">
        <f t="shared" si="3"/>
        <v>20000</v>
      </c>
      <c r="L55" s="20">
        <f t="shared" si="5"/>
        <v>20000</v>
      </c>
      <c r="M55" s="20"/>
      <c r="N55" s="2"/>
      <c r="O55" s="4"/>
    </row>
    <row r="56" spans="1:15" x14ac:dyDescent="0.35">
      <c r="A56" s="2"/>
      <c r="B56" s="2"/>
      <c r="C56" s="2"/>
      <c r="D56" s="2" t="s">
        <v>130</v>
      </c>
      <c r="E56" s="2" t="s">
        <v>105</v>
      </c>
      <c r="F56" s="3">
        <v>2</v>
      </c>
      <c r="G56" s="3"/>
      <c r="H56" s="3" t="s">
        <v>20</v>
      </c>
      <c r="I56" s="59">
        <v>2</v>
      </c>
      <c r="J56" s="2">
        <v>800</v>
      </c>
      <c r="K56" s="20">
        <f t="shared" si="3"/>
        <v>1600</v>
      </c>
      <c r="L56" s="20">
        <f t="shared" si="5"/>
        <v>1600</v>
      </c>
      <c r="M56" s="20"/>
      <c r="N56" s="2"/>
      <c r="O56" s="4"/>
    </row>
    <row r="57" spans="1:15" x14ac:dyDescent="0.35">
      <c r="A57" s="2"/>
      <c r="B57" s="2"/>
      <c r="C57" s="2"/>
      <c r="D57" s="2" t="s">
        <v>131</v>
      </c>
      <c r="E57" s="2"/>
      <c r="F57" s="3">
        <v>2</v>
      </c>
      <c r="G57" s="3"/>
      <c r="H57" s="3" t="s">
        <v>20</v>
      </c>
      <c r="I57" s="59">
        <v>2</v>
      </c>
      <c r="J57" s="2">
        <v>1200</v>
      </c>
      <c r="K57" s="20">
        <f t="shared" si="3"/>
        <v>2400</v>
      </c>
      <c r="L57" s="20">
        <f t="shared" si="5"/>
        <v>2400</v>
      </c>
      <c r="M57" s="20"/>
      <c r="N57" s="2"/>
      <c r="O57" s="4"/>
    </row>
    <row r="58" spans="1:15" x14ac:dyDescent="0.35">
      <c r="A58" s="2"/>
      <c r="B58" s="2"/>
      <c r="C58" s="2"/>
      <c r="D58" s="2" t="s">
        <v>132</v>
      </c>
      <c r="E58" s="2"/>
      <c r="F58" s="3">
        <v>2</v>
      </c>
      <c r="G58" s="3"/>
      <c r="H58" s="3" t="s">
        <v>20</v>
      </c>
      <c r="I58" s="59">
        <v>2</v>
      </c>
      <c r="J58" s="2">
        <v>800</v>
      </c>
      <c r="K58" s="20">
        <f t="shared" si="3"/>
        <v>1600</v>
      </c>
      <c r="L58" s="20">
        <f t="shared" si="5"/>
        <v>1600</v>
      </c>
      <c r="M58" s="20"/>
      <c r="N58" s="2"/>
      <c r="O58" s="4"/>
    </row>
    <row r="59" spans="1:15" x14ac:dyDescent="0.35">
      <c r="A59" s="2"/>
      <c r="B59" s="2"/>
      <c r="C59" s="2"/>
      <c r="D59" s="2" t="s">
        <v>133</v>
      </c>
      <c r="E59" s="2"/>
      <c r="F59" s="3">
        <v>1</v>
      </c>
      <c r="G59" s="3"/>
      <c r="H59" s="3" t="s">
        <v>20</v>
      </c>
      <c r="I59" s="59">
        <v>2</v>
      </c>
      <c r="J59" s="2">
        <v>1000</v>
      </c>
      <c r="K59" s="20">
        <f t="shared" si="3"/>
        <v>1000</v>
      </c>
      <c r="L59" s="20">
        <f t="shared" si="5"/>
        <v>1000</v>
      </c>
      <c r="M59" s="20"/>
      <c r="N59" s="2"/>
      <c r="O59" s="4"/>
    </row>
    <row r="60" spans="1:15" x14ac:dyDescent="0.35">
      <c r="A60" s="2"/>
      <c r="B60" s="2"/>
      <c r="C60" s="2" t="s">
        <v>134</v>
      </c>
      <c r="D60" s="2" t="s">
        <v>135</v>
      </c>
      <c r="E60" s="2" t="s">
        <v>136</v>
      </c>
      <c r="F60" s="3">
        <v>1</v>
      </c>
      <c r="G60" s="3"/>
      <c r="H60" s="3" t="s">
        <v>20</v>
      </c>
      <c r="I60" s="59">
        <v>2</v>
      </c>
      <c r="J60" s="9">
        <v>5000</v>
      </c>
      <c r="K60" s="20">
        <f t="shared" si="3"/>
        <v>5000</v>
      </c>
      <c r="L60" s="20">
        <f t="shared" si="5"/>
        <v>5000</v>
      </c>
      <c r="M60" s="20"/>
      <c r="N60" s="2" t="s">
        <v>21</v>
      </c>
      <c r="O60" s="4"/>
    </row>
    <row r="61" spans="1:15" x14ac:dyDescent="0.35">
      <c r="A61" s="2"/>
      <c r="B61" s="2"/>
      <c r="C61" s="2" t="s">
        <v>137</v>
      </c>
      <c r="D61" s="2" t="s">
        <v>138</v>
      </c>
      <c r="E61" s="2" t="s">
        <v>139</v>
      </c>
      <c r="F61" s="3">
        <v>2</v>
      </c>
      <c r="G61" s="3"/>
      <c r="H61" s="3" t="s">
        <v>20</v>
      </c>
      <c r="I61" s="59">
        <v>2</v>
      </c>
      <c r="J61" s="9">
        <v>11500</v>
      </c>
      <c r="K61" s="20">
        <f t="shared" si="3"/>
        <v>23000</v>
      </c>
      <c r="L61" s="20">
        <f t="shared" si="5"/>
        <v>23000</v>
      </c>
      <c r="M61" s="20"/>
      <c r="N61" s="2" t="s">
        <v>21</v>
      </c>
      <c r="O61" s="4"/>
    </row>
    <row r="62" spans="1:15" ht="20.25" customHeight="1" x14ac:dyDescent="0.35">
      <c r="A62" s="2"/>
      <c r="B62" s="2" t="s">
        <v>140</v>
      </c>
      <c r="C62" s="2" t="s">
        <v>97</v>
      </c>
      <c r="D62" s="2" t="s">
        <v>80</v>
      </c>
      <c r="E62" s="2" t="s">
        <v>98</v>
      </c>
      <c r="F62" s="3">
        <v>1</v>
      </c>
      <c r="G62" s="3"/>
      <c r="H62" s="3" t="s">
        <v>20</v>
      </c>
      <c r="I62" s="59">
        <v>1</v>
      </c>
      <c r="J62" s="9">
        <v>20000</v>
      </c>
      <c r="K62" s="20">
        <f t="shared" si="3"/>
        <v>20000</v>
      </c>
      <c r="L62" s="20">
        <f t="shared" si="5"/>
        <v>20000</v>
      </c>
      <c r="M62" s="20">
        <f>L62</f>
        <v>20000</v>
      </c>
      <c r="N62" s="2" t="s">
        <v>21</v>
      </c>
      <c r="O62" s="4"/>
    </row>
    <row r="63" spans="1:15" ht="20.25" customHeight="1" x14ac:dyDescent="0.35">
      <c r="A63" s="2"/>
      <c r="B63" s="2"/>
      <c r="C63" s="2" t="s">
        <v>141</v>
      </c>
      <c r="D63" s="2" t="s">
        <v>142</v>
      </c>
      <c r="E63" s="2"/>
      <c r="F63" s="3">
        <v>1</v>
      </c>
      <c r="G63" s="3"/>
      <c r="H63" s="3" t="s">
        <v>20</v>
      </c>
      <c r="I63" s="59"/>
      <c r="J63" s="9">
        <v>1000</v>
      </c>
      <c r="K63" s="20">
        <f t="shared" si="3"/>
        <v>1000</v>
      </c>
      <c r="L63" s="20">
        <f t="shared" si="5"/>
        <v>1000</v>
      </c>
      <c r="M63" s="20">
        <f>L63</f>
        <v>1000</v>
      </c>
      <c r="N63" s="2" t="s">
        <v>21</v>
      </c>
      <c r="O63" s="4"/>
    </row>
    <row r="64" spans="1:15" x14ac:dyDescent="0.35">
      <c r="A64" s="2"/>
      <c r="B64" s="2"/>
      <c r="C64" s="2"/>
      <c r="D64" s="2"/>
      <c r="E64" s="2"/>
      <c r="F64" s="3"/>
      <c r="G64" s="3"/>
      <c r="H64" s="3"/>
      <c r="I64" s="59"/>
      <c r="J64" s="2"/>
      <c r="K64" s="20">
        <f t="shared" si="3"/>
        <v>0</v>
      </c>
      <c r="L64" s="20">
        <f t="shared" si="5"/>
        <v>0</v>
      </c>
      <c r="M64" s="20"/>
      <c r="N64" s="2"/>
      <c r="O64" s="4"/>
    </row>
    <row r="65" spans="1:15" ht="29" x14ac:dyDescent="0.35">
      <c r="A65" s="2"/>
      <c r="B65" s="2" t="s">
        <v>143</v>
      </c>
      <c r="C65" s="2" t="s">
        <v>102</v>
      </c>
      <c r="D65" s="2" t="s">
        <v>80</v>
      </c>
      <c r="E65" s="2" t="s">
        <v>103</v>
      </c>
      <c r="F65" s="3">
        <v>2</v>
      </c>
      <c r="G65" s="3"/>
      <c r="H65" s="3" t="s">
        <v>20</v>
      </c>
      <c r="I65" s="59">
        <v>1</v>
      </c>
      <c r="J65" s="24">
        <v>80000</v>
      </c>
      <c r="K65" s="20">
        <f t="shared" si="3"/>
        <v>160000</v>
      </c>
      <c r="L65" s="20">
        <f t="shared" si="5"/>
        <v>160000</v>
      </c>
      <c r="M65" s="20">
        <v>80000</v>
      </c>
      <c r="N65" s="4" t="s">
        <v>144</v>
      </c>
      <c r="O65" s="4" t="s">
        <v>195</v>
      </c>
    </row>
    <row r="66" spans="1:15" x14ac:dyDescent="0.35">
      <c r="A66" s="2"/>
      <c r="B66" s="2"/>
      <c r="C66" s="2"/>
      <c r="D66" s="2" t="s">
        <v>130</v>
      </c>
      <c r="E66" s="2" t="s">
        <v>105</v>
      </c>
      <c r="F66" s="3">
        <v>2</v>
      </c>
      <c r="G66" s="3"/>
      <c r="H66" s="3" t="s">
        <v>20</v>
      </c>
      <c r="I66" s="59"/>
      <c r="J66" s="2"/>
      <c r="K66" s="20">
        <f t="shared" si="3"/>
        <v>0</v>
      </c>
      <c r="L66" s="20">
        <f t="shared" si="5"/>
        <v>0</v>
      </c>
      <c r="M66" s="20"/>
      <c r="N66" s="2"/>
      <c r="O66" s="4"/>
    </row>
    <row r="67" spans="1:15" x14ac:dyDescent="0.35">
      <c r="A67" s="2"/>
      <c r="B67" s="2"/>
      <c r="C67" s="2" t="s">
        <v>107</v>
      </c>
      <c r="D67" s="2" t="s">
        <v>108</v>
      </c>
      <c r="E67" s="2" t="s">
        <v>109</v>
      </c>
      <c r="F67" s="3">
        <v>2</v>
      </c>
      <c r="G67" s="3"/>
      <c r="H67" s="3" t="s">
        <v>20</v>
      </c>
      <c r="I67" s="59">
        <v>1</v>
      </c>
      <c r="J67" s="9">
        <v>12000</v>
      </c>
      <c r="K67" s="20">
        <f t="shared" si="3"/>
        <v>24000</v>
      </c>
      <c r="L67" s="20">
        <v>24000</v>
      </c>
      <c r="M67" s="20">
        <v>12000</v>
      </c>
      <c r="N67" s="2" t="s">
        <v>21</v>
      </c>
      <c r="O67" s="4" t="s">
        <v>195</v>
      </c>
    </row>
    <row r="68" spans="1:15" x14ac:dyDescent="0.35">
      <c r="A68" s="2"/>
      <c r="B68" s="2"/>
      <c r="C68" s="2"/>
      <c r="D68" s="2"/>
      <c r="E68" s="2"/>
      <c r="F68" s="3"/>
      <c r="G68" s="3"/>
      <c r="H68" s="3"/>
      <c r="I68" s="59"/>
      <c r="J68" s="2"/>
      <c r="K68" s="20">
        <f t="shared" si="3"/>
        <v>0</v>
      </c>
      <c r="L68" s="20">
        <f t="shared" si="5"/>
        <v>0</v>
      </c>
      <c r="M68" s="20"/>
      <c r="N68" s="2"/>
      <c r="O68" s="4"/>
    </row>
    <row r="69" spans="1:15" s="44" customFormat="1" ht="29" x14ac:dyDescent="0.35">
      <c r="A69" s="29"/>
      <c r="B69" s="29" t="s">
        <v>145</v>
      </c>
      <c r="C69" s="29" t="s">
        <v>102</v>
      </c>
      <c r="D69" s="29" t="s">
        <v>80</v>
      </c>
      <c r="E69" s="29" t="s">
        <v>103</v>
      </c>
      <c r="F69" s="41">
        <v>1</v>
      </c>
      <c r="G69" s="41"/>
      <c r="H69" s="41" t="s">
        <v>20</v>
      </c>
      <c r="I69" s="60">
        <v>1</v>
      </c>
      <c r="J69" s="29"/>
      <c r="K69" s="42">
        <f t="shared" si="3"/>
        <v>0</v>
      </c>
      <c r="L69" s="42">
        <f t="shared" si="5"/>
        <v>0</v>
      </c>
      <c r="M69" s="42"/>
      <c r="N69" s="43" t="s">
        <v>144</v>
      </c>
      <c r="O69" s="43" t="s">
        <v>185</v>
      </c>
    </row>
    <row r="70" spans="1:15" x14ac:dyDescent="0.35">
      <c r="A70" s="2"/>
      <c r="B70" s="2"/>
      <c r="C70" s="2"/>
      <c r="D70" s="2"/>
      <c r="E70" s="2"/>
      <c r="F70" s="3"/>
      <c r="G70" s="3"/>
      <c r="H70" s="3"/>
      <c r="I70" s="59"/>
      <c r="J70" s="24"/>
      <c r="K70" s="20"/>
      <c r="L70" s="20"/>
      <c r="M70" s="20"/>
      <c r="N70" s="2"/>
      <c r="O70" s="4"/>
    </row>
    <row r="71" spans="1:15" x14ac:dyDescent="0.35">
      <c r="A71" s="2"/>
      <c r="B71" s="2"/>
      <c r="C71" s="2" t="s">
        <v>107</v>
      </c>
      <c r="D71" s="2" t="s">
        <v>108</v>
      </c>
      <c r="E71" s="2" t="s">
        <v>109</v>
      </c>
      <c r="F71" s="3">
        <v>1</v>
      </c>
      <c r="G71" s="3"/>
      <c r="H71" s="3" t="s">
        <v>20</v>
      </c>
      <c r="I71" s="59">
        <v>1</v>
      </c>
      <c r="J71" s="9">
        <v>0</v>
      </c>
      <c r="K71" s="20">
        <f t="shared" ref="K70:K73" si="6">F71*J71</f>
        <v>0</v>
      </c>
      <c r="L71" s="20">
        <f t="shared" si="5"/>
        <v>0</v>
      </c>
      <c r="M71" s="22">
        <f>L71</f>
        <v>0</v>
      </c>
      <c r="N71" s="11" t="s">
        <v>21</v>
      </c>
      <c r="O71" s="43" t="s">
        <v>185</v>
      </c>
    </row>
    <row r="72" spans="1:15" ht="29" x14ac:dyDescent="0.35">
      <c r="A72" s="2"/>
      <c r="B72" s="2"/>
      <c r="C72" s="2" t="s">
        <v>146</v>
      </c>
      <c r="D72" s="2" t="s">
        <v>147</v>
      </c>
      <c r="E72" s="2"/>
      <c r="F72" s="3">
        <v>2</v>
      </c>
      <c r="G72" s="3"/>
      <c r="H72" s="3" t="s">
        <v>20</v>
      </c>
      <c r="I72" s="59">
        <v>2</v>
      </c>
      <c r="J72" s="2">
        <v>1000</v>
      </c>
      <c r="K72" s="21">
        <f t="shared" si="6"/>
        <v>2000</v>
      </c>
      <c r="L72" s="20">
        <f t="shared" si="5"/>
        <v>2000</v>
      </c>
      <c r="M72" s="22">
        <f>L72</f>
        <v>2000</v>
      </c>
      <c r="N72" s="34" t="s">
        <v>144</v>
      </c>
      <c r="O72" s="35"/>
    </row>
    <row r="73" spans="1:15" x14ac:dyDescent="0.35">
      <c r="A73" s="2"/>
      <c r="B73" s="2"/>
      <c r="C73" s="2" t="s">
        <v>148</v>
      </c>
      <c r="D73" s="2" t="s">
        <v>149</v>
      </c>
      <c r="E73" s="2"/>
      <c r="F73" s="3">
        <v>2</v>
      </c>
      <c r="G73" s="3"/>
      <c r="H73" s="3" t="s">
        <v>60</v>
      </c>
      <c r="I73" s="59">
        <v>2</v>
      </c>
      <c r="J73" s="2">
        <v>600</v>
      </c>
      <c r="K73" s="21">
        <f t="shared" si="6"/>
        <v>1200</v>
      </c>
      <c r="L73" s="20"/>
      <c r="M73" s="68"/>
      <c r="N73" s="52" t="s">
        <v>21</v>
      </c>
      <c r="O73" s="35"/>
    </row>
    <row r="74" spans="1:15" ht="29" x14ac:dyDescent="0.35">
      <c r="A74" s="2"/>
      <c r="B74" s="2"/>
      <c r="C74" s="2" t="s">
        <v>150</v>
      </c>
      <c r="D74" s="2"/>
      <c r="E74" s="2"/>
      <c r="F74" s="3">
        <v>1</v>
      </c>
      <c r="G74" s="3"/>
      <c r="H74" s="3"/>
      <c r="I74" s="59">
        <v>2</v>
      </c>
      <c r="J74" s="2"/>
      <c r="K74" s="21"/>
      <c r="L74" s="20"/>
      <c r="N74" s="53"/>
      <c r="O74" s="35" t="s">
        <v>151</v>
      </c>
    </row>
    <row r="75" spans="1:15" x14ac:dyDescent="0.35">
      <c r="A75" s="2"/>
      <c r="B75" s="2"/>
      <c r="C75" s="2"/>
      <c r="D75" s="2"/>
      <c r="E75" s="2"/>
      <c r="F75" s="3"/>
      <c r="G75" s="3"/>
      <c r="H75" s="3"/>
      <c r="I75" s="59"/>
      <c r="J75" s="2"/>
      <c r="K75" s="21"/>
      <c r="L75" s="20"/>
      <c r="M75" s="69"/>
      <c r="N75" s="32"/>
      <c r="O75" s="36"/>
    </row>
    <row r="76" spans="1:15" ht="29" x14ac:dyDescent="0.35">
      <c r="A76" s="2"/>
      <c r="B76" s="2" t="s">
        <v>152</v>
      </c>
      <c r="C76" s="2" t="s">
        <v>153</v>
      </c>
      <c r="D76" s="8" t="s">
        <v>153</v>
      </c>
      <c r="E76" s="2" t="s">
        <v>154</v>
      </c>
      <c r="F76" s="3">
        <v>1</v>
      </c>
      <c r="G76" s="3"/>
      <c r="H76" s="3" t="s">
        <v>20</v>
      </c>
      <c r="I76" s="59">
        <v>2</v>
      </c>
      <c r="J76" s="2">
        <v>12000</v>
      </c>
      <c r="K76" s="20">
        <f>F76*J76</f>
        <v>12000</v>
      </c>
      <c r="L76" s="20">
        <f>K76</f>
        <v>12000</v>
      </c>
      <c r="M76" s="20"/>
      <c r="N76" s="2" t="s">
        <v>155</v>
      </c>
      <c r="O76" s="4" t="s">
        <v>156</v>
      </c>
    </row>
    <row r="77" spans="1:15" x14ac:dyDescent="0.35">
      <c r="A77" s="2"/>
      <c r="B77" s="29"/>
      <c r="C77" s="29" t="s">
        <v>157</v>
      </c>
      <c r="D77" s="29" t="s">
        <v>158</v>
      </c>
      <c r="E77" s="29" t="s">
        <v>159</v>
      </c>
      <c r="F77" s="41">
        <v>1</v>
      </c>
      <c r="G77" s="3"/>
      <c r="H77" s="3" t="s">
        <v>20</v>
      </c>
      <c r="I77" s="59">
        <v>1</v>
      </c>
      <c r="J77" s="9">
        <v>6000</v>
      </c>
      <c r="K77" s="20">
        <f>F77*J77</f>
        <v>6000</v>
      </c>
      <c r="L77" s="20">
        <f t="shared" ref="L77:L80" si="7">K77</f>
        <v>6000</v>
      </c>
      <c r="M77" s="20">
        <f>L77</f>
        <v>6000</v>
      </c>
      <c r="N77" s="2" t="s">
        <v>21</v>
      </c>
      <c r="O77" s="4"/>
    </row>
    <row r="78" spans="1:15" x14ac:dyDescent="0.35">
      <c r="A78" s="2"/>
      <c r="B78" s="2"/>
      <c r="C78" s="2" t="s">
        <v>134</v>
      </c>
      <c r="D78" s="2" t="s">
        <v>135</v>
      </c>
      <c r="E78" s="2" t="s">
        <v>136</v>
      </c>
      <c r="F78" s="3">
        <v>1</v>
      </c>
      <c r="G78" s="3"/>
      <c r="H78" s="3" t="s">
        <v>20</v>
      </c>
      <c r="I78" s="59">
        <v>1</v>
      </c>
      <c r="J78" s="9">
        <v>5000</v>
      </c>
      <c r="K78" s="20">
        <f>F78*J78</f>
        <v>5000</v>
      </c>
      <c r="L78" s="20">
        <f t="shared" si="7"/>
        <v>5000</v>
      </c>
      <c r="M78" s="20">
        <f>L78</f>
        <v>5000</v>
      </c>
      <c r="N78" s="2" t="s">
        <v>21</v>
      </c>
      <c r="O78" s="4" t="s">
        <v>160</v>
      </c>
    </row>
    <row r="79" spans="1:15" x14ac:dyDescent="0.35">
      <c r="A79" s="2"/>
      <c r="B79" s="2"/>
      <c r="C79" s="2" t="s">
        <v>161</v>
      </c>
      <c r="D79" s="11"/>
      <c r="E79" s="11"/>
      <c r="F79" s="15"/>
      <c r="G79" s="15"/>
      <c r="H79" s="15"/>
      <c r="I79" s="62">
        <v>1</v>
      </c>
      <c r="J79" s="11">
        <v>1500</v>
      </c>
      <c r="K79" s="22">
        <f>F79*J79</f>
        <v>0</v>
      </c>
      <c r="L79" s="20">
        <f t="shared" si="7"/>
        <v>0</v>
      </c>
      <c r="M79" s="22"/>
      <c r="N79" s="11" t="s">
        <v>155</v>
      </c>
      <c r="O79" s="34"/>
    </row>
    <row r="80" spans="1:15" x14ac:dyDescent="0.35">
      <c r="A80" s="2"/>
      <c r="B80" s="2"/>
      <c r="C80" s="30" t="s">
        <v>162</v>
      </c>
      <c r="D80" s="26"/>
      <c r="E80" s="26"/>
      <c r="F80" s="27"/>
      <c r="G80" s="27"/>
      <c r="H80" s="27"/>
      <c r="I80" s="63">
        <v>1</v>
      </c>
      <c r="J80" s="26">
        <v>200</v>
      </c>
      <c r="K80" s="28">
        <f>F80*J80</f>
        <v>0</v>
      </c>
      <c r="L80" s="20">
        <f t="shared" si="7"/>
        <v>0</v>
      </c>
      <c r="N80" s="26" t="s">
        <v>155</v>
      </c>
      <c r="O80" s="37"/>
    </row>
    <row r="81" spans="1:15" x14ac:dyDescent="0.35">
      <c r="A81" s="2"/>
      <c r="B81" s="2"/>
      <c r="C81" s="2" t="s">
        <v>163</v>
      </c>
      <c r="D81" s="2"/>
      <c r="E81" s="2"/>
      <c r="F81" s="3"/>
      <c r="G81" s="3"/>
      <c r="H81" s="3" t="s">
        <v>60</v>
      </c>
      <c r="I81" s="59">
        <v>2</v>
      </c>
      <c r="J81" s="2"/>
      <c r="K81" s="49">
        <f t="shared" ref="K81:K83" si="8">F81*J81</f>
        <v>0</v>
      </c>
      <c r="L81" s="20"/>
      <c r="M81" s="70"/>
      <c r="N81" s="14" t="s">
        <v>164</v>
      </c>
      <c r="O81" s="4"/>
    </row>
    <row r="82" spans="1:15" x14ac:dyDescent="0.35">
      <c r="A82" s="2"/>
      <c r="B82" s="2"/>
      <c r="C82" s="2" t="s">
        <v>165</v>
      </c>
      <c r="D82" s="2"/>
      <c r="E82" s="2"/>
      <c r="F82" s="3">
        <v>1</v>
      </c>
      <c r="G82" s="3"/>
      <c r="H82" s="3" t="s">
        <v>20</v>
      </c>
      <c r="I82" s="59">
        <v>2</v>
      </c>
      <c r="J82" s="2">
        <v>1000</v>
      </c>
      <c r="K82" s="49">
        <f t="shared" si="8"/>
        <v>1000</v>
      </c>
      <c r="L82" s="20">
        <f>K82</f>
        <v>1000</v>
      </c>
      <c r="M82" s="70"/>
      <c r="N82" s="14" t="s">
        <v>166</v>
      </c>
      <c r="O82" s="4"/>
    </row>
    <row r="83" spans="1:15" x14ac:dyDescent="0.35">
      <c r="A83" s="2"/>
      <c r="B83" s="2"/>
      <c r="C83" s="2"/>
      <c r="D83" s="2"/>
      <c r="E83" s="2"/>
      <c r="F83" s="3"/>
      <c r="G83" s="3"/>
      <c r="H83" s="3"/>
      <c r="I83" s="59"/>
      <c r="J83" s="2"/>
      <c r="K83" s="49">
        <f t="shared" si="8"/>
        <v>0</v>
      </c>
      <c r="L83" s="20">
        <f t="shared" ref="L83:L88" si="9">K83</f>
        <v>0</v>
      </c>
      <c r="M83" s="70"/>
      <c r="N83" s="14"/>
      <c r="O83" s="4"/>
    </row>
    <row r="84" spans="1:15" x14ac:dyDescent="0.35">
      <c r="A84" s="2"/>
      <c r="B84" s="2" t="s">
        <v>167</v>
      </c>
      <c r="C84" s="2" t="s">
        <v>168</v>
      </c>
      <c r="D84" s="2"/>
      <c r="E84" s="2"/>
      <c r="F84" s="3">
        <v>1</v>
      </c>
      <c r="G84" s="3"/>
      <c r="H84" s="3"/>
      <c r="I84" s="59"/>
      <c r="J84" s="2">
        <v>200000</v>
      </c>
      <c r="K84" s="21">
        <f>F84*J84</f>
        <v>200000</v>
      </c>
      <c r="L84" s="20">
        <f t="shared" si="9"/>
        <v>200000</v>
      </c>
      <c r="M84" s="70"/>
      <c r="N84" s="14"/>
      <c r="O84" s="4"/>
    </row>
    <row r="85" spans="1:15" x14ac:dyDescent="0.35">
      <c r="A85" s="2"/>
      <c r="B85" s="2"/>
      <c r="C85" s="2"/>
      <c r="D85" s="2"/>
      <c r="E85" s="2"/>
      <c r="F85" s="3"/>
      <c r="G85" s="3"/>
      <c r="H85" s="3"/>
      <c r="I85" s="59"/>
      <c r="J85" s="2"/>
      <c r="K85" s="21"/>
      <c r="L85" s="20">
        <f t="shared" si="9"/>
        <v>0</v>
      </c>
      <c r="M85" s="70"/>
      <c r="N85" s="14"/>
      <c r="O85" s="4"/>
    </row>
    <row r="86" spans="1:15" x14ac:dyDescent="0.35">
      <c r="A86" s="2"/>
      <c r="B86" s="2"/>
      <c r="C86" s="2"/>
      <c r="D86" s="2"/>
      <c r="E86" s="2"/>
      <c r="F86" s="3"/>
      <c r="G86" s="3"/>
      <c r="H86" s="3"/>
      <c r="I86" s="59"/>
      <c r="J86" s="2"/>
      <c r="K86" s="21"/>
      <c r="L86" s="20">
        <f t="shared" si="9"/>
        <v>0</v>
      </c>
      <c r="M86" s="70"/>
      <c r="N86" s="14"/>
      <c r="O86" s="4"/>
    </row>
    <row r="87" spans="1:15" x14ac:dyDescent="0.35">
      <c r="A87" s="2"/>
      <c r="B87" s="2" t="s">
        <v>169</v>
      </c>
      <c r="C87" s="2"/>
      <c r="D87" s="2"/>
      <c r="E87" s="2"/>
      <c r="F87" s="3"/>
      <c r="G87" s="3"/>
      <c r="H87" s="3"/>
      <c r="I87" s="59"/>
      <c r="J87" s="2"/>
      <c r="K87" s="21"/>
      <c r="L87" s="20">
        <f t="shared" si="9"/>
        <v>0</v>
      </c>
      <c r="M87" s="70"/>
      <c r="N87" s="14"/>
      <c r="O87" s="4"/>
    </row>
    <row r="88" spans="1:15" ht="29" x14ac:dyDescent="0.35">
      <c r="A88" s="2"/>
      <c r="B88" s="2"/>
      <c r="C88" s="2" t="s">
        <v>170</v>
      </c>
      <c r="D88" s="2" t="s">
        <v>171</v>
      </c>
      <c r="E88" s="2" t="s">
        <v>172</v>
      </c>
      <c r="F88" s="3">
        <v>1</v>
      </c>
      <c r="G88" s="3"/>
      <c r="H88" s="3" t="s">
        <v>20</v>
      </c>
      <c r="I88" s="59">
        <v>2</v>
      </c>
      <c r="J88" s="2">
        <v>10000</v>
      </c>
      <c r="K88" s="21">
        <f>F88*J88</f>
        <v>10000</v>
      </c>
      <c r="L88" s="20">
        <f t="shared" si="9"/>
        <v>10000</v>
      </c>
      <c r="M88" s="70"/>
      <c r="N88" s="14" t="s">
        <v>21</v>
      </c>
      <c r="O88" s="4" t="s">
        <v>173</v>
      </c>
    </row>
    <row r="89" spans="1:15" x14ac:dyDescent="0.35">
      <c r="A89" s="2"/>
      <c r="B89" s="2"/>
      <c r="C89" s="25"/>
      <c r="D89" s="31"/>
      <c r="E89" s="32"/>
      <c r="F89" s="16"/>
      <c r="G89" s="16"/>
      <c r="H89" s="16"/>
      <c r="I89" s="64"/>
      <c r="J89" s="12"/>
      <c r="K89" s="50"/>
      <c r="L89" s="20"/>
      <c r="M89" s="70"/>
      <c r="N89" s="14"/>
      <c r="O89" s="36"/>
    </row>
    <row r="90" spans="1:15" x14ac:dyDescent="0.35">
      <c r="A90" s="2"/>
      <c r="B90" s="2"/>
      <c r="C90" s="11" t="s">
        <v>174</v>
      </c>
      <c r="D90" s="18"/>
      <c r="E90" s="11"/>
      <c r="F90" s="15"/>
      <c r="G90" s="15"/>
      <c r="H90" s="15"/>
      <c r="I90" s="62"/>
      <c r="J90" s="11"/>
      <c r="K90" s="47"/>
      <c r="L90" s="20"/>
      <c r="M90" s="70"/>
      <c r="N90" s="14"/>
      <c r="O90" s="4"/>
    </row>
    <row r="91" spans="1:15" x14ac:dyDescent="0.35">
      <c r="A91" s="2"/>
      <c r="B91" s="10"/>
      <c r="C91" s="46" t="s">
        <v>175</v>
      </c>
      <c r="D91" s="13"/>
      <c r="E91" s="13"/>
      <c r="F91" s="17"/>
      <c r="G91" s="17"/>
      <c r="H91" s="17"/>
      <c r="I91" s="65"/>
      <c r="J91" s="13"/>
      <c r="K91" s="51"/>
      <c r="L91" s="20"/>
      <c r="M91" s="70"/>
      <c r="N91" s="14"/>
      <c r="O91" s="4"/>
    </row>
    <row r="92" spans="1:15" x14ac:dyDescent="0.35">
      <c r="A92" s="2"/>
      <c r="B92" s="10"/>
      <c r="C92" s="13" t="s">
        <v>176</v>
      </c>
      <c r="D92" s="13"/>
      <c r="E92" s="13"/>
      <c r="F92" s="17"/>
      <c r="G92" s="17"/>
      <c r="H92" s="17"/>
      <c r="I92" s="65"/>
      <c r="J92" s="13"/>
      <c r="K92" s="51"/>
      <c r="L92" s="20"/>
      <c r="M92" s="70"/>
      <c r="N92" s="14"/>
      <c r="O92" s="4"/>
    </row>
    <row r="93" spans="1:15" x14ac:dyDescent="0.35">
      <c r="A93" s="11"/>
      <c r="B93" s="11"/>
      <c r="C93" s="18" t="s">
        <v>177</v>
      </c>
      <c r="D93" s="18"/>
      <c r="E93" s="18"/>
      <c r="F93" s="39"/>
      <c r="G93" s="39"/>
      <c r="H93" s="39"/>
      <c r="I93" s="66"/>
      <c r="J93" s="18"/>
      <c r="K93" s="40"/>
      <c r="L93" s="40"/>
      <c r="M93" s="40"/>
      <c r="N93" s="11"/>
      <c r="O93" s="34"/>
    </row>
    <row r="95" spans="1:15" x14ac:dyDescent="0.35">
      <c r="J95" s="54" t="s">
        <v>178</v>
      </c>
      <c r="K95" s="56">
        <f>SUM(K3:K94)</f>
        <v>2156245</v>
      </c>
      <c r="L95" s="55">
        <f>SUM(L3:L94)</f>
        <v>1713045</v>
      </c>
      <c r="M95" s="55">
        <f>SUM(M2:M93)</f>
        <v>995445</v>
      </c>
    </row>
    <row r="96" spans="1:15" x14ac:dyDescent="0.35">
      <c r="K96" s="57" t="s">
        <v>179</v>
      </c>
      <c r="L96" s="58" t="s">
        <v>180</v>
      </c>
      <c r="M96" s="58"/>
    </row>
  </sheetData>
  <conditionalFormatting sqref="I1:I1048576">
    <cfRule type="cellIs" dxfId="0" priority="1" operator="equal">
      <formula>2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52572-4861-4943-af28-0ce77391e003">
      <Terms xmlns="http://schemas.microsoft.com/office/infopath/2007/PartnerControls"/>
    </lcf76f155ced4ddcb4097134ff3c332f>
    <Comments xmlns="9f752572-4861-4943-af28-0ce77391e003" xsi:nil="true"/>
    <TaxCatchAll xmlns="45a2aa9c-c011-4d48-9e92-81fe2d297d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C9CA5F4211144BA3395451C97CB0A1" ma:contentTypeVersion="15" ma:contentTypeDescription="Create a new document." ma:contentTypeScope="" ma:versionID="5acab2b48b6180233ee537a38abf4332">
  <xsd:schema xmlns:xsd="http://www.w3.org/2001/XMLSchema" xmlns:xs="http://www.w3.org/2001/XMLSchema" xmlns:p="http://schemas.microsoft.com/office/2006/metadata/properties" xmlns:ns2="9f752572-4861-4943-af28-0ce77391e003" xmlns:ns3="45a2aa9c-c011-4d48-9e92-81fe2d297dc2" targetNamespace="http://schemas.microsoft.com/office/2006/metadata/properties" ma:root="true" ma:fieldsID="8e22972844cd2fb3b65d1e10574f9a8c" ns2:_="" ns3:_="">
    <xsd:import namespace="9f752572-4861-4943-af28-0ce77391e003"/>
    <xsd:import namespace="45a2aa9c-c011-4d48-9e92-81fe2d297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Comment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2572-4861-4943-af28-0ce77391e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0b497ef-cce0-4e10-b949-ea5883c61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2aa9c-c011-4d48-9e92-81fe2d297d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765fdda-dbb3-4120-ad43-8ac42c8f119c}" ma:internalName="TaxCatchAll" ma:showField="CatchAllData" ma:web="45a2aa9c-c011-4d48-9e92-81fe2d297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CDEB0-D7D3-41C5-A3C1-6A5188BCF839}">
  <ds:schemaRefs>
    <ds:schemaRef ds:uri="9f752572-4861-4943-af28-0ce77391e003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45a2aa9c-c011-4d48-9e92-81fe2d297dc2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8D6FFD1-909B-4D91-AB6B-2BCA20237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4422FD-8D6C-48D8-B27A-AF72E5D8A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52572-4861-4943-af28-0ce77391e003"/>
    <ds:schemaRef ds:uri="45a2aa9c-c011-4d48-9e92-81fe2d297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Crook</dc:creator>
  <cp:keywords/>
  <dc:description/>
  <cp:lastModifiedBy>Craig Ward</cp:lastModifiedBy>
  <cp:revision/>
  <dcterms:created xsi:type="dcterms:W3CDTF">2026-06-19T14:15:44Z</dcterms:created>
  <dcterms:modified xsi:type="dcterms:W3CDTF">2026-09-11T08:28:57Z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0x01010055C9CA5F4211144BA3395451C97CB0A1</vt:lpwstr>
  </property>
  <property fmtid="{D5CDD505-2E9C-101B-9397-08002B2CF9AE}" pid="3" name="MediaServiceImageTags">
    <vt:lpwstr/>
  </property>
</Properties>
</file>