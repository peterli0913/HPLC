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670"/>
  </bookViews>
  <sheets>
    <sheet name="李涛自评" sheetId="1" r:id="rId1"/>
  </sheets>
  <externalReferences>
    <externalReference r:id="rId2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<sst xmlns="http://schemas.openxmlformats.org/spreadsheetml/2006/main" count="49" uniqueCount="39">
  <si>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序号</t>
  </si>
  <si>
    <t>指标
类型</t>
  </si>
  <si>
    <t>部门</t>
  </si>
  <si>
    <t>人员</t>
  </si>
  <si>
    <t>考核指标</t>
  </si>
  <si>
    <t>年度目标</t>
  </si>
  <si>
    <t>评价等级（每个等级对应目标）</t>
  </si>
  <si>
    <t>权重
比例</t>
  </si>
  <si>
    <t>数据来源</t>
  </si>
  <si>
    <t>完成情况</t>
  </si>
  <si>
    <t>实际得分</t>
  </si>
  <si>
    <t>备注</t>
  </si>
  <si>
    <t>A（120%）</t>
  </si>
  <si>
    <t>B（100%）</t>
  </si>
  <si>
    <t>C（90%）</t>
  </si>
  <si>
    <t>D（80%）</t>
  </si>
  <si>
    <t>E（0）</t>
  </si>
  <si>
    <t>KPI</t>
  </si>
  <si>
    <t>李涛</t>
  </si>
  <si>
    <t>Sandwich项目管理支持</t>
  </si>
  <si>
    <t>1）连续氢化建设项目管理支持：
目前项目已推进至 HAZOP 完成阶段。2026年将持续支持并协调 CFCT、IEPE 与 SW 各方，推进布局设计、工程采购、CE认证、测试验证等工作，做好跨团队沟通与协同，保障项目按计划整体推进。</t>
  </si>
  <si>
    <t>完成年度目标，自评结合上级评价【加分上限为指标权重的20%】</t>
  </si>
  <si>
    <t>自评+上级领导审核</t>
  </si>
  <si>
    <t>截至 2026 年上半年，作为国内项目管理支持，协调 CFCT、IEPE 与 UK Sandwich 三方，系统推动项目整体节奏，主要进展如下：
• 已推动关闭三方之间 30 余项关键设计议题（含 PFD / P&amp;ID / URS 三大设计文件对齐、SE01 气液分离器方案闭环、CE-MD 认证范围确定、防爆区域划分方向确定等），主要设计文件基本齐备；
• 建立并稳定运行中英双方的技术协作机制，通过双语《会议纪要跟踪表》系统跟踪超过 100 项议题，对英方问询、技术分歧、设计变更做到全过程可追溯；
• 有效应对超临界流体安全阀泄放计算等前沿技术议题，组织国内技术团队与 UK 同行建立对等技术对话，避免项目在关键节点上被动等待；
• 设计基线对齐工作 —— 汇总国内 33 项待澄清问题与 UK 一方 59 项 Risk Register 合并至统一跟踪；
下半年计划：继续推动详细设计完成、主设备采购启动、CE 认证正式启动，为 2027 年 FAT 与现场开车目标铺路。项目整体节奏可控。</t>
  </si>
  <si>
    <t>项目按计划推进，超期风险已受控</t>
  </si>
  <si>
    <t>2）HPLC和冻干机建设项目管理支持：
目前项目已推进至可行性研究报告启动会阶段。2026年将持续支持并协调工程设备部与SW方的沟通对接，协助推进方案确认、需求澄清及项目整体实施，保障项目有序开展。</t>
  </si>
  <si>
    <t>项目处于早期阶段，按计划推进</t>
  </si>
  <si>
    <t>3）902贴建项目管理支持：
目前项目已推进至可行性研究报告启动会阶段。2026年将持续支持并协调工程设备部与SW方的沟通与协同，推动项目方案讨论、需求落实及整体进度推进，确保项目按计划开展。</t>
  </si>
  <si>
    <t>Sandwich 相关支持任务</t>
  </si>
  <si>
    <t>负责 Sandwich 站点年度预算申请、执行监控及回顾，并协调机器学习研讨小组，推动相关技术交流与协作落地</t>
  </si>
  <si>
    <t>月概算和月回顾100%完成</t>
  </si>
  <si>
    <t>100%＞完成率≥90%</t>
  </si>
  <si>
    <t>90%＞完成率≥80%</t>
  </si>
  <si>
    <t>80%＞完成率≥70%</t>
  </si>
  <si>
    <t>完成率＜70%</t>
  </si>
  <si>
    <t>月概算与月回顾按时 100% 完成</t>
  </si>
  <si>
    <t>重点工作</t>
  </si>
  <si>
    <t>配合推进电算化等生产管理重点工作。
支持生产管理重点工作的落实，全力推动，确保各项工作顺利开展。</t>
  </si>
  <si>
    <t>按上级安排配合推进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</si>
</sst>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[$-409]mmm;@"/>
  </numFmts>
  <fonts count="29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name val="Microsoft YaHei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  <font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176" fontId="27" fillId="0" borderId="0"/>
    <xf numFmtId="176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</cellStyleXfs>
  <cellXfs count="25">
    <xf numFmtId="0" fontId="0" fillId="0" borderId="0" xfId="0"/>
    <xf numFmtId="0" fontId="1" fillId="0" borderId="0" xfId="0" applyFont="1"/>
    <xf numFmtId="0" fontId="2" fillId="2" borderId="1" xfId="49" applyNumberFormat="1" applyFont="1" applyFill="1" applyBorder="1" applyAlignment="1">
      <alignment horizontal="center" vertical="center" wrapText="1"/>
    </xf>
    <xf numFmtId="176" fontId="2" fillId="2" borderId="1" xfId="49" applyFont="1" applyFill="1" applyBorder="1" applyAlignment="1">
      <alignment horizontal="center" vertical="center" wrapText="1"/>
    </xf>
    <xf numFmtId="176" fontId="2" fillId="3" borderId="1" xfId="49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76" fontId="2" fillId="4" borderId="1" xfId="49" applyFont="1" applyFill="1" applyBorder="1" applyAlignment="1">
      <alignment horizontal="center" vertical="center" wrapText="1"/>
    </xf>
    <xf numFmtId="0" fontId="0" fillId="0" borderId="4" xfId="0" applyBorder="1"/>
    <xf numFmtId="176" fontId="2" fillId="3" borderId="1" xfId="50" applyFont="1" applyFill="1" applyBorder="1" applyAlignment="1">
      <alignment horizontal="center" vertical="center" wrapText="1"/>
    </xf>
    <xf numFmtId="0" fontId="2" fillId="0" borderId="1" xfId="51" applyFont="1" applyBorder="1" applyAlignment="1">
      <alignment horizontal="center" vertical="center" wrapText="1"/>
    </xf>
    <xf numFmtId="0" fontId="2" fillId="0" borderId="1" xfId="51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9" fontId="2" fillId="0" borderId="1" xfId="51" applyNumberFormat="1" applyFont="1" applyBorder="1" applyAlignment="1">
      <alignment horizontal="center" vertical="center" wrapText="1"/>
    </xf>
    <xf numFmtId="0" fontId="3" fillId="0" borderId="1" xfId="5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0" fillId="0" borderId="6" xfId="0" applyBorder="1"/>
    <xf numFmtId="0" fontId="2" fillId="0" borderId="1" xfId="52" applyFont="1" applyBorder="1" applyAlignment="1">
      <alignment horizontal="left" vertical="center" wrapText="1"/>
    </xf>
    <xf numFmtId="0" fontId="3" fillId="0" borderId="1" xfId="52" applyFont="1" applyBorder="1" applyAlignment="1">
      <alignment horizontal="left" vertical="center" wrapText="1"/>
    </xf>
    <xf numFmtId="0" fontId="3" fillId="0" borderId="1" xfId="53" applyFont="1" applyBorder="1" applyAlignment="1">
      <alignment vertical="center" wrapText="1"/>
    </xf>
    <xf numFmtId="0" fontId="5" fillId="0" borderId="1" xfId="51" applyFont="1" applyBorder="1" applyAlignment="1">
      <alignment horizontal="center" vertical="center" wrapText="1"/>
    </xf>
    <xf numFmtId="177" fontId="5" fillId="0" borderId="1" xfId="51" applyNumberFormat="1" applyFont="1" applyBorder="1" applyAlignment="1">
      <alignment horizontal="center" vertical="center" wrapText="1"/>
    </xf>
    <xf numFmtId="177" fontId="3" fillId="5" borderId="1" xfId="51" applyNumberFormat="1" applyFont="1" applyFill="1" applyBorder="1" applyAlignment="1">
      <alignment vertical="center" wrapText="1"/>
    </xf>
    <xf numFmtId="9" fontId="5" fillId="0" borderId="1" xfId="51" applyNumberFormat="1" applyFont="1" applyBorder="1" applyAlignment="1">
      <alignment horizontal="center" vertical="center" wrapText="1"/>
    </xf>
    <xf numFmtId="177" fontId="6" fillId="0" borderId="1" xfId="51" applyNumberFormat="1" applyFont="1" applyBorder="1" applyAlignment="1">
      <alignment horizontal="center" vertical="center" wrapText="1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0 2 2 2" xfId="49"/>
    <cellStyle name="常规 108 2 2 2 7 2 2" xfId="50"/>
    <cellStyle name="常规 7 2" xfId="51"/>
    <cellStyle name="常规 2 5" xfId="52"/>
    <cellStyle name="常规 103 4 2 7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7719;&#24635;&#12305;&#20154;&#21592;&#28165;&#21333;&amp;&#25351;&#26631;&#28165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指标清单"/>
      <sheetName val="汇总-中期"/>
      <sheetName val="汇总-上半年"/>
      <sheetName val="2026年上-人员清单"/>
      <sheetName val="负责人"/>
      <sheetName val="2026年04"/>
      <sheetName val="2026年中-人员清单-0430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姓名</v>
          </cell>
          <cell r="G2" t="str">
            <v>一级部门</v>
          </cell>
          <cell r="H2" t="str">
            <v>二级部门/分组</v>
          </cell>
          <cell r="I2" t="str">
            <v>职位</v>
          </cell>
          <cell r="J2" t="str">
            <v>管理层级</v>
          </cell>
          <cell r="K2" t="str">
            <v>备注</v>
          </cell>
          <cell r="L2" t="str">
            <v>板块</v>
          </cell>
        </row>
        <row r="2">
          <cell r="N2" t="str">
            <v>部门</v>
          </cell>
        </row>
        <row r="3">
          <cell r="F3" t="str">
            <v>郑国喜</v>
          </cell>
          <cell r="G3" t="str">
            <v>-</v>
          </cell>
          <cell r="H3" t="str">
            <v>-</v>
          </cell>
          <cell r="I3" t="str">
            <v>高级副总裁</v>
          </cell>
          <cell r="J3" t="str">
            <v>高层</v>
          </cell>
        </row>
        <row r="3">
          <cell r="L3" t="str">
            <v>SVP</v>
          </cell>
        </row>
        <row r="3">
          <cell r="N3" t="str">
            <v>SVP</v>
          </cell>
        </row>
        <row r="4">
          <cell r="F4" t="str">
            <v>周炎</v>
          </cell>
          <cell r="G4" t="str">
            <v>质量保证部</v>
          </cell>
          <cell r="H4" t="str">
            <v>-</v>
          </cell>
          <cell r="I4" t="str">
            <v>高级副总裁</v>
          </cell>
          <cell r="J4" t="str">
            <v>高层</v>
          </cell>
        </row>
        <row r="4">
          <cell r="L4" t="str">
            <v>SVP</v>
          </cell>
        </row>
        <row r="4">
          <cell r="N4" t="str">
            <v>SVP</v>
          </cell>
        </row>
        <row r="5">
          <cell r="F5" t="str">
            <v>徐向科</v>
          </cell>
          <cell r="G5" t="str">
            <v>公共事业部</v>
          </cell>
          <cell r="H5" t="str">
            <v>-</v>
          </cell>
          <cell r="I5" t="str">
            <v>高级副总裁</v>
          </cell>
          <cell r="J5" t="str">
            <v>高层</v>
          </cell>
        </row>
        <row r="5">
          <cell r="L5" t="str">
            <v>SVP</v>
          </cell>
        </row>
        <row r="6">
          <cell r="F6" t="str">
            <v>郑明智</v>
          </cell>
          <cell r="G6" t="str">
            <v>工艺工程技术中心</v>
          </cell>
          <cell r="H6" t="str">
            <v>-</v>
          </cell>
          <cell r="I6" t="str">
            <v>首席科学家</v>
          </cell>
          <cell r="J6" t="str">
            <v>高层</v>
          </cell>
        </row>
        <row r="6">
          <cell r="L6" t="str">
            <v>SVP</v>
          </cell>
        </row>
        <row r="6">
          <cell r="N6" t="str">
            <v>IEPE</v>
          </cell>
        </row>
        <row r="7">
          <cell r="F7" t="str">
            <v>叶立文</v>
          </cell>
          <cell r="G7" t="str">
            <v>化学大分子部</v>
          </cell>
          <cell r="H7" t="str">
            <v>-</v>
          </cell>
          <cell r="I7" t="str">
            <v>高级副总裁</v>
          </cell>
          <cell r="J7" t="str">
            <v>高层</v>
          </cell>
        </row>
        <row r="7">
          <cell r="L7" t="str">
            <v>SVP</v>
          </cell>
        </row>
        <row r="7">
          <cell r="N7" t="str">
            <v>ARD</v>
          </cell>
        </row>
        <row r="8">
          <cell r="F8" t="str">
            <v>刘凯</v>
          </cell>
          <cell r="G8" t="str">
            <v>小分子事业部一</v>
          </cell>
          <cell r="H8" t="str">
            <v>-</v>
          </cell>
          <cell r="I8" t="str">
            <v>高级副总裁</v>
          </cell>
          <cell r="J8" t="str">
            <v>高层</v>
          </cell>
        </row>
        <row r="8">
          <cell r="L8" t="str">
            <v>研发</v>
          </cell>
          <cell r="M8" t="str">
            <v>研发负责人</v>
          </cell>
          <cell r="N8" t="str">
            <v>BU1</v>
          </cell>
        </row>
        <row r="9">
          <cell r="F9" t="str">
            <v>罗贤才</v>
          </cell>
          <cell r="G9" t="str">
            <v>化学小分子核心客户项目组</v>
          </cell>
          <cell r="H9" t="str">
            <v>-</v>
          </cell>
          <cell r="I9" t="str">
            <v>执行副总经理</v>
          </cell>
          <cell r="J9" t="str">
            <v>高层</v>
          </cell>
        </row>
        <row r="9">
          <cell r="L9" t="str">
            <v>研发</v>
          </cell>
        </row>
        <row r="9">
          <cell r="N9" t="str">
            <v>BU1</v>
          </cell>
        </row>
        <row r="10">
          <cell r="F10" t="str">
            <v>王祖权</v>
          </cell>
          <cell r="G10" t="str">
            <v>小分子事业部一</v>
          </cell>
          <cell r="H10" t="str">
            <v>核心客户项目组4</v>
          </cell>
          <cell r="I10" t="str">
            <v>执行总监</v>
          </cell>
          <cell r="J10" t="str">
            <v>高层</v>
          </cell>
        </row>
        <row r="10">
          <cell r="L10" t="str">
            <v>研发</v>
          </cell>
        </row>
        <row r="10">
          <cell r="N10" t="str">
            <v>BU1-CT4</v>
          </cell>
        </row>
        <row r="11">
          <cell r="F11" t="str">
            <v>金祖习</v>
          </cell>
          <cell r="G11" t="str">
            <v>小分子事业部一</v>
          </cell>
          <cell r="H11" t="str">
            <v>核心客户项目组7</v>
          </cell>
          <cell r="I11" t="str">
            <v>副总经理</v>
          </cell>
          <cell r="J11" t="str">
            <v>高层</v>
          </cell>
        </row>
        <row r="11">
          <cell r="L11" t="str">
            <v>研发</v>
          </cell>
        </row>
        <row r="11">
          <cell r="N11" t="str">
            <v>BU1-CT7</v>
          </cell>
        </row>
        <row r="12">
          <cell r="F12" t="str">
            <v>窦瑞敏</v>
          </cell>
          <cell r="G12" t="str">
            <v>小分子事业部一</v>
          </cell>
          <cell r="H12" t="str">
            <v>核心客户项目组7</v>
          </cell>
          <cell r="I12" t="str">
            <v>执行总监</v>
          </cell>
          <cell r="J12" t="str">
            <v>高层</v>
          </cell>
          <cell r="K12" t="str">
            <v>###</v>
          </cell>
          <cell r="L12" t="str">
            <v>研发</v>
          </cell>
        </row>
        <row r="12">
          <cell r="N12" t="str">
            <v>BU1-CT7</v>
          </cell>
        </row>
        <row r="13">
          <cell r="F13" t="str">
            <v>李闻斌</v>
          </cell>
          <cell r="G13" t="str">
            <v>小分子事业部一</v>
          </cell>
          <cell r="H13" t="str">
            <v>核心客户项目组8</v>
          </cell>
          <cell r="I13" t="str">
            <v>副总经理</v>
          </cell>
          <cell r="J13" t="str">
            <v>高层</v>
          </cell>
        </row>
        <row r="13">
          <cell r="L13" t="str">
            <v>研发</v>
          </cell>
        </row>
        <row r="13">
          <cell r="N13" t="str">
            <v>BU1-CT8</v>
          </cell>
        </row>
        <row r="14">
          <cell r="F14" t="str">
            <v>贾明月</v>
          </cell>
          <cell r="G14" t="str">
            <v>小分子事业部一</v>
          </cell>
          <cell r="H14" t="str">
            <v>核心客户项目组8</v>
          </cell>
          <cell r="I14" t="str">
            <v>执行总监</v>
          </cell>
          <cell r="J14" t="str">
            <v>高层</v>
          </cell>
          <cell r="K14" t="str">
            <v>###</v>
          </cell>
          <cell r="L14" t="str">
            <v>研发</v>
          </cell>
        </row>
        <row r="14">
          <cell r="N14" t="str">
            <v>BU1-CT8</v>
          </cell>
        </row>
        <row r="15">
          <cell r="F15" t="str">
            <v>易建</v>
          </cell>
          <cell r="G15" t="str">
            <v>小分子事业部一</v>
          </cell>
          <cell r="H15" t="str">
            <v>核心客户项目组8</v>
          </cell>
          <cell r="I15" t="str">
            <v>执行总监</v>
          </cell>
          <cell r="J15" t="str">
            <v>高层</v>
          </cell>
          <cell r="K15" t="str">
            <v>###</v>
          </cell>
          <cell r="L15" t="str">
            <v>研发</v>
          </cell>
        </row>
        <row r="15">
          <cell r="N15" t="str">
            <v>BU1-CT8</v>
          </cell>
        </row>
        <row r="16">
          <cell r="F16" t="str">
            <v>杨建波</v>
          </cell>
          <cell r="G16" t="str">
            <v>小分子事业部二</v>
          </cell>
          <cell r="H16" t="str">
            <v>小分子事业部二</v>
          </cell>
          <cell r="I16" t="str">
            <v>高级副总裁</v>
          </cell>
          <cell r="J16" t="str">
            <v>高层</v>
          </cell>
        </row>
        <row r="16">
          <cell r="L16" t="str">
            <v>研发</v>
          </cell>
          <cell r="M16" t="str">
            <v>研发负责人</v>
          </cell>
          <cell r="N16" t="str">
            <v>BU2</v>
          </cell>
        </row>
        <row r="17">
          <cell r="F17" t="str">
            <v>史张兵</v>
          </cell>
          <cell r="G17" t="str">
            <v>小分子事业部二</v>
          </cell>
          <cell r="H17" t="str">
            <v>核心客户项目组3</v>
          </cell>
          <cell r="I17" t="str">
            <v>执行总监</v>
          </cell>
          <cell r="J17" t="str">
            <v>高层</v>
          </cell>
        </row>
        <row r="17">
          <cell r="L17" t="str">
            <v>研发</v>
          </cell>
        </row>
        <row r="17">
          <cell r="N17" t="str">
            <v>BU2-CT3</v>
          </cell>
        </row>
        <row r="18">
          <cell r="F18" t="str">
            <v>王泽东</v>
          </cell>
          <cell r="G18" t="str">
            <v>小分子事业部二</v>
          </cell>
          <cell r="H18" t="str">
            <v>核心客户项目组9</v>
          </cell>
          <cell r="I18" t="str">
            <v>执行总监</v>
          </cell>
          <cell r="J18" t="str">
            <v>高层</v>
          </cell>
        </row>
        <row r="18">
          <cell r="L18" t="str">
            <v>研发</v>
          </cell>
        </row>
        <row r="18">
          <cell r="N18" t="str">
            <v>BU2-CT9</v>
          </cell>
        </row>
        <row r="19">
          <cell r="F19" t="str">
            <v>宋恒</v>
          </cell>
          <cell r="G19" t="str">
            <v>小分子事业部二</v>
          </cell>
          <cell r="H19" t="str">
            <v>核心客户项目组10</v>
          </cell>
          <cell r="I19" t="str">
            <v>副总经理</v>
          </cell>
          <cell r="J19" t="str">
            <v>高层</v>
          </cell>
        </row>
        <row r="19">
          <cell r="L19" t="str">
            <v>研发</v>
          </cell>
        </row>
        <row r="19">
          <cell r="N19" t="str">
            <v>BU2-CT10</v>
          </cell>
        </row>
        <row r="20">
          <cell r="F20" t="str">
            <v>郭艳锋</v>
          </cell>
          <cell r="G20" t="str">
            <v>小分子事业部二</v>
          </cell>
          <cell r="H20" t="str">
            <v>核心客户项目组10</v>
          </cell>
          <cell r="I20" t="str">
            <v>副总经理</v>
          </cell>
          <cell r="J20" t="str">
            <v>高层</v>
          </cell>
          <cell r="K20" t="str">
            <v>###</v>
          </cell>
          <cell r="L20" t="str">
            <v>研发</v>
          </cell>
        </row>
        <row r="20">
          <cell r="N20" t="str">
            <v>BU2-CT10</v>
          </cell>
        </row>
        <row r="21">
          <cell r="F21" t="str">
            <v>莫大刚</v>
          </cell>
          <cell r="G21" t="str">
            <v>小分子事业部二</v>
          </cell>
          <cell r="H21" t="str">
            <v>核心客户项目组11</v>
          </cell>
          <cell r="I21" t="str">
            <v>执行总监</v>
          </cell>
          <cell r="J21" t="str">
            <v>高层</v>
          </cell>
        </row>
        <row r="21">
          <cell r="L21" t="str">
            <v>研发</v>
          </cell>
        </row>
        <row r="21">
          <cell r="N21" t="str">
            <v>BU2-CT11</v>
          </cell>
        </row>
        <row r="22">
          <cell r="F22" t="str">
            <v>李小虎</v>
          </cell>
          <cell r="G22" t="str">
            <v>小分子事业部二</v>
          </cell>
          <cell r="H22" t="str">
            <v>核心客户项目组12</v>
          </cell>
          <cell r="I22" t="str">
            <v>主管</v>
          </cell>
          <cell r="J22" t="str">
            <v>中层</v>
          </cell>
        </row>
        <row r="22">
          <cell r="L22" t="str">
            <v>研发</v>
          </cell>
        </row>
        <row r="22">
          <cell r="N22" t="str">
            <v>BU2-CT12</v>
          </cell>
        </row>
        <row r="23">
          <cell r="F23" t="str">
            <v>敬大江</v>
          </cell>
          <cell r="G23" t="str">
            <v>化学小分子核心客户项目组</v>
          </cell>
          <cell r="H23" t="str">
            <v>核心客户项目组5</v>
          </cell>
          <cell r="I23" t="str">
            <v>执行副总经理</v>
          </cell>
          <cell r="J23" t="str">
            <v>高层</v>
          </cell>
        </row>
        <row r="23">
          <cell r="L23" t="str">
            <v>研发</v>
          </cell>
          <cell r="M23" t="str">
            <v>研发负责人</v>
          </cell>
          <cell r="N23" t="str">
            <v>CT5&amp;6&amp;13</v>
          </cell>
        </row>
        <row r="24">
          <cell r="F24" t="str">
            <v>鲁治军</v>
          </cell>
          <cell r="G24" t="str">
            <v>化学小分子核心客户项目组</v>
          </cell>
          <cell r="H24" t="str">
            <v>核心客户项目组6</v>
          </cell>
          <cell r="I24" t="str">
            <v>执行总监</v>
          </cell>
          <cell r="J24" t="str">
            <v>高层</v>
          </cell>
        </row>
        <row r="24">
          <cell r="L24" t="str">
            <v>研发</v>
          </cell>
        </row>
        <row r="24">
          <cell r="N24" t="str">
            <v>CT6</v>
          </cell>
        </row>
        <row r="25">
          <cell r="F25" t="str">
            <v>孙浩</v>
          </cell>
          <cell r="G25" t="str">
            <v>化学小分子核心客户项目组</v>
          </cell>
          <cell r="H25" t="str">
            <v>核心客户项目组13</v>
          </cell>
          <cell r="I25" t="str">
            <v>执行总监</v>
          </cell>
          <cell r="J25" t="str">
            <v>高层</v>
          </cell>
        </row>
        <row r="25">
          <cell r="L25" t="str">
            <v>研发</v>
          </cell>
        </row>
        <row r="25">
          <cell r="N25" t="str">
            <v>CT13</v>
          </cell>
        </row>
        <row r="26">
          <cell r="F26" t="str">
            <v>丁明</v>
          </cell>
          <cell r="G26" t="str">
            <v>早期临床项目研究中心</v>
          </cell>
          <cell r="H26" t="str">
            <v>-</v>
          </cell>
          <cell r="I26" t="str">
            <v>执行总监</v>
          </cell>
          <cell r="J26" t="str">
            <v>高层</v>
          </cell>
        </row>
        <row r="26">
          <cell r="L26" t="str">
            <v>研发</v>
          </cell>
          <cell r="M26" t="str">
            <v>研发负责人</v>
          </cell>
          <cell r="N26" t="str">
            <v>EPPS</v>
          </cell>
        </row>
        <row r="27">
          <cell r="F27" t="str">
            <v>阮继武</v>
          </cell>
          <cell r="G27" t="str">
            <v>早期临床项目研究中心</v>
          </cell>
          <cell r="H27" t="str">
            <v>化学研究服务部</v>
          </cell>
          <cell r="I27" t="str">
            <v>执行总监</v>
          </cell>
          <cell r="J27" t="str">
            <v>高层</v>
          </cell>
        </row>
        <row r="27">
          <cell r="L27" t="str">
            <v>研发</v>
          </cell>
        </row>
        <row r="27">
          <cell r="N27" t="str">
            <v>EPPS</v>
          </cell>
        </row>
        <row r="28">
          <cell r="F28" t="str">
            <v>杨建波</v>
          </cell>
          <cell r="G28" t="str">
            <v>化学大分子部</v>
          </cell>
          <cell r="H28" t="str">
            <v>-</v>
          </cell>
          <cell r="I28" t="str">
            <v>高级副总裁</v>
          </cell>
          <cell r="J28" t="str">
            <v>高层</v>
          </cell>
        </row>
        <row r="28">
          <cell r="L28" t="str">
            <v>研发</v>
          </cell>
          <cell r="M28" t="str">
            <v>研发负责人</v>
          </cell>
          <cell r="N28" t="str">
            <v>CMMD</v>
          </cell>
        </row>
        <row r="29">
          <cell r="F29" t="str">
            <v>周少朋</v>
          </cell>
          <cell r="G29" t="str">
            <v>化学大分子部</v>
          </cell>
          <cell r="H29" t="str">
            <v>核心客户项目组1</v>
          </cell>
          <cell r="I29" t="str">
            <v>副总经理</v>
          </cell>
          <cell r="J29" t="str">
            <v>高层</v>
          </cell>
        </row>
        <row r="29">
          <cell r="L29" t="str">
            <v>研发</v>
          </cell>
        </row>
        <row r="29">
          <cell r="N29" t="str">
            <v>CMMD-Oligo组</v>
          </cell>
        </row>
        <row r="30">
          <cell r="F30" t="str">
            <v>石东阳</v>
          </cell>
          <cell r="G30" t="str">
            <v>化学大分子部</v>
          </cell>
          <cell r="H30" t="str">
            <v>核心客户项目组3</v>
          </cell>
          <cell r="I30" t="str">
            <v>执行总监</v>
          </cell>
          <cell r="J30" t="str">
            <v>高层</v>
          </cell>
          <cell r="K30" t="str">
            <v>###</v>
          </cell>
          <cell r="L30" t="str">
            <v>研发</v>
          </cell>
        </row>
        <row r="30">
          <cell r="N30" t="str">
            <v>CMMD-多肽组</v>
          </cell>
        </row>
        <row r="31">
          <cell r="F31" t="str">
            <v>朱新义</v>
          </cell>
          <cell r="G31" t="str">
            <v>化学大分子部</v>
          </cell>
          <cell r="H31" t="str">
            <v>核心客户项目组3</v>
          </cell>
          <cell r="I31" t="str">
            <v>执行总监</v>
          </cell>
          <cell r="J31" t="str">
            <v>高层</v>
          </cell>
          <cell r="K31" t="str">
            <v>###</v>
          </cell>
          <cell r="L31" t="str">
            <v>研发</v>
          </cell>
        </row>
        <row r="31">
          <cell r="N31" t="str">
            <v>CMMD-多肽组</v>
          </cell>
        </row>
        <row r="32">
          <cell r="F32" t="str">
            <v>魏铮</v>
          </cell>
          <cell r="G32" t="str">
            <v>化学大分子部</v>
          </cell>
          <cell r="H32" t="str">
            <v>核心客户项目组2</v>
          </cell>
          <cell r="I32" t="str">
            <v>执行总监</v>
          </cell>
          <cell r="J32" t="str">
            <v>高层</v>
          </cell>
        </row>
        <row r="32">
          <cell r="L32" t="str">
            <v>研发</v>
          </cell>
        </row>
        <row r="32">
          <cell r="N32" t="str">
            <v>CMMD-PL组</v>
          </cell>
        </row>
        <row r="33">
          <cell r="F33" t="str">
            <v>张磊</v>
          </cell>
          <cell r="G33" t="str">
            <v>化学大分子部</v>
          </cell>
          <cell r="H33" t="str">
            <v>核心客户项目组4</v>
          </cell>
          <cell r="I33" t="str">
            <v>执行总监</v>
          </cell>
          <cell r="J33" t="str">
            <v>高层</v>
          </cell>
        </row>
        <row r="33">
          <cell r="L33" t="str">
            <v>研发</v>
          </cell>
        </row>
        <row r="33">
          <cell r="N33" t="str">
            <v>CMMD-PE组</v>
          </cell>
        </row>
        <row r="34">
          <cell r="F34" t="str">
            <v>霍翔宏</v>
          </cell>
          <cell r="G34" t="str">
            <v>化学大分子部</v>
          </cell>
          <cell r="H34" t="str">
            <v>-</v>
          </cell>
          <cell r="I34" t="str">
            <v>执行总监</v>
          </cell>
          <cell r="J34" t="str">
            <v>高层</v>
          </cell>
        </row>
        <row r="34">
          <cell r="L34" t="str">
            <v>研发</v>
          </cell>
        </row>
        <row r="34">
          <cell r="N34" t="str">
            <v>CMMD-核苷单体小组</v>
          </cell>
        </row>
        <row r="35">
          <cell r="F35" t="str">
            <v>乔桢</v>
          </cell>
          <cell r="G35" t="str">
            <v>化学大分子部</v>
          </cell>
        </row>
        <row r="35">
          <cell r="J35" t="str">
            <v>高层</v>
          </cell>
        </row>
        <row r="35">
          <cell r="L35" t="str">
            <v>研发</v>
          </cell>
        </row>
        <row r="35">
          <cell r="N35" t="str">
            <v>CMMD-制备及纯化分离组</v>
          </cell>
        </row>
        <row r="36">
          <cell r="F36" t="str">
            <v>杨涛</v>
          </cell>
          <cell r="G36" t="str">
            <v>制剂部</v>
          </cell>
          <cell r="H36" t="str">
            <v>固体制剂研发部</v>
          </cell>
          <cell r="I36" t="str">
            <v>执行副总经理</v>
          </cell>
          <cell r="J36" t="str">
            <v>高层</v>
          </cell>
        </row>
        <row r="36">
          <cell r="L36" t="str">
            <v>研发</v>
          </cell>
          <cell r="M36" t="str">
            <v>研发负责人</v>
          </cell>
          <cell r="N36" t="str">
            <v>制剂部</v>
          </cell>
        </row>
        <row r="37">
          <cell r="F37" t="str">
            <v>杨忠亮</v>
          </cell>
          <cell r="G37" t="str">
            <v>制剂部</v>
          </cell>
          <cell r="H37" t="str">
            <v>注射剂生产部</v>
          </cell>
          <cell r="I37" t="str">
            <v>副总经理</v>
          </cell>
          <cell r="J37" t="str">
            <v>高层</v>
          </cell>
        </row>
        <row r="37">
          <cell r="L37" t="str">
            <v>研发</v>
          </cell>
        </row>
        <row r="37">
          <cell r="N37" t="str">
            <v>制剂部</v>
          </cell>
        </row>
        <row r="38">
          <cell r="F38" t="str">
            <v>邱俊英</v>
          </cell>
          <cell r="G38" t="str">
            <v>商业化项目事业部</v>
          </cell>
          <cell r="H38" t="str">
            <v>大项目生产组1</v>
          </cell>
          <cell r="I38" t="str">
            <v>执行副总经理</v>
          </cell>
          <cell r="J38" t="str">
            <v>高层</v>
          </cell>
        </row>
        <row r="38">
          <cell r="L38" t="str">
            <v>生产</v>
          </cell>
          <cell r="M38" t="str">
            <v>研发负责人</v>
          </cell>
          <cell r="N38" t="str">
            <v>商业化项目事业部</v>
          </cell>
        </row>
        <row r="39">
          <cell r="F39" t="str">
            <v>蒋勇</v>
          </cell>
          <cell r="G39" t="str">
            <v>商业化项目事业部</v>
          </cell>
          <cell r="H39" t="str">
            <v>核心客户项目组1</v>
          </cell>
          <cell r="I39" t="str">
            <v>执行总监</v>
          </cell>
          <cell r="J39" t="str">
            <v>高层</v>
          </cell>
        </row>
        <row r="39">
          <cell r="L39" t="str">
            <v>生产</v>
          </cell>
        </row>
        <row r="39">
          <cell r="N39" t="str">
            <v>核心客户项目组1</v>
          </cell>
        </row>
        <row r="40">
          <cell r="F40" t="str">
            <v>孙小航</v>
          </cell>
          <cell r="G40" t="str">
            <v>商业化项目事业部</v>
          </cell>
          <cell r="H40" t="str">
            <v>大项目生产组1</v>
          </cell>
          <cell r="I40" t="str">
            <v>执行总监</v>
          </cell>
          <cell r="J40" t="str">
            <v>高层</v>
          </cell>
        </row>
        <row r="40">
          <cell r="L40" t="str">
            <v>生产</v>
          </cell>
        </row>
        <row r="40">
          <cell r="N40" t="str">
            <v>大项目生产组1</v>
          </cell>
        </row>
        <row r="41">
          <cell r="F41" t="str">
            <v>杨新涛</v>
          </cell>
          <cell r="G41" t="str">
            <v>商业化项目事业部</v>
          </cell>
          <cell r="H41" t="str">
            <v>大项目生产组2</v>
          </cell>
          <cell r="I41" t="str">
            <v>执行总监</v>
          </cell>
          <cell r="J41" t="str">
            <v>高层</v>
          </cell>
        </row>
        <row r="41">
          <cell r="L41" t="str">
            <v>生产</v>
          </cell>
        </row>
        <row r="41">
          <cell r="N41" t="str">
            <v>大项目生产组2</v>
          </cell>
        </row>
        <row r="42">
          <cell r="F42" t="str">
            <v>袁作家</v>
          </cell>
          <cell r="G42" t="str">
            <v>商业化项目事业部</v>
          </cell>
          <cell r="H42" t="str">
            <v>大项目生产组1</v>
          </cell>
          <cell r="I42" t="str">
            <v>高级主管</v>
          </cell>
          <cell r="J42" t="str">
            <v>中层</v>
          </cell>
        </row>
        <row r="42">
          <cell r="L42" t="str">
            <v>生产</v>
          </cell>
        </row>
        <row r="42">
          <cell r="N42" t="str">
            <v>大项目生产组3</v>
          </cell>
        </row>
        <row r="43">
          <cell r="F43" t="str">
            <v>尹碧洪</v>
          </cell>
          <cell r="G43" t="str">
            <v>生产部</v>
          </cell>
          <cell r="H43" t="str">
            <v>生产部</v>
          </cell>
          <cell r="I43" t="str">
            <v>厂长</v>
          </cell>
          <cell r="J43" t="str">
            <v>高层</v>
          </cell>
        </row>
        <row r="43">
          <cell r="L43" t="str">
            <v>生产</v>
          </cell>
          <cell r="M43" t="str">
            <v>生产负责人</v>
          </cell>
          <cell r="N43" t="str">
            <v>TJ1&amp;TJ4</v>
          </cell>
        </row>
        <row r="44">
          <cell r="F44" t="str">
            <v>施瑞军</v>
          </cell>
          <cell r="G44" t="str">
            <v>生产部</v>
          </cell>
          <cell r="H44" t="str">
            <v>11号楼</v>
          </cell>
          <cell r="I44" t="str">
            <v>副总工程师</v>
          </cell>
          <cell r="J44" t="str">
            <v>高层</v>
          </cell>
        </row>
        <row r="44">
          <cell r="L44" t="str">
            <v>生产</v>
          </cell>
        </row>
        <row r="44">
          <cell r="N44" t="str">
            <v>TJ4</v>
          </cell>
        </row>
        <row r="45">
          <cell r="F45" t="str">
            <v>刘蛟龙</v>
          </cell>
          <cell r="G45" t="str">
            <v>生产部</v>
          </cell>
          <cell r="H45" t="str">
            <v>4号楼</v>
          </cell>
          <cell r="I45" t="str">
            <v>副总工程师</v>
          </cell>
          <cell r="J45" t="str">
            <v>高层</v>
          </cell>
        </row>
        <row r="45">
          <cell r="L45" t="str">
            <v>生产</v>
          </cell>
        </row>
        <row r="45">
          <cell r="N45" t="str">
            <v>TJ4</v>
          </cell>
        </row>
        <row r="46">
          <cell r="F46" t="str">
            <v>张文艺</v>
          </cell>
          <cell r="G46" t="str">
            <v>生产部</v>
          </cell>
          <cell r="H46" t="str">
            <v>生产部</v>
          </cell>
          <cell r="I46" t="str">
            <v>副厂长</v>
          </cell>
          <cell r="J46" t="str">
            <v>高层</v>
          </cell>
        </row>
        <row r="46">
          <cell r="L46" t="str">
            <v>生产</v>
          </cell>
        </row>
        <row r="46">
          <cell r="N46" t="str">
            <v>TJ4</v>
          </cell>
        </row>
        <row r="47">
          <cell r="F47" t="str">
            <v>史永钢</v>
          </cell>
          <cell r="G47" t="str">
            <v>生产部</v>
          </cell>
          <cell r="H47" t="str">
            <v>11号楼</v>
          </cell>
          <cell r="I47" t="str">
            <v>副厂长</v>
          </cell>
          <cell r="J47" t="str">
            <v>高层</v>
          </cell>
        </row>
        <row r="47">
          <cell r="L47" t="str">
            <v>生产</v>
          </cell>
        </row>
        <row r="47">
          <cell r="N47" t="str">
            <v>TJ4</v>
          </cell>
        </row>
        <row r="48">
          <cell r="F48" t="str">
            <v>杨道兴</v>
          </cell>
          <cell r="G48" t="str">
            <v>生产部</v>
          </cell>
          <cell r="H48" t="str">
            <v>5号楼</v>
          </cell>
          <cell r="I48" t="str">
            <v>副厂长</v>
          </cell>
          <cell r="J48" t="str">
            <v>高层</v>
          </cell>
        </row>
        <row r="48">
          <cell r="L48" t="str">
            <v>生产</v>
          </cell>
        </row>
        <row r="48">
          <cell r="N48" t="str">
            <v>TJ1&amp;TJ4</v>
          </cell>
        </row>
        <row r="49">
          <cell r="F49" t="str">
            <v>蔡天一</v>
          </cell>
          <cell r="G49" t="str">
            <v>生产部</v>
          </cell>
          <cell r="H49" t="str">
            <v>生产办公室</v>
          </cell>
          <cell r="I49" t="str">
            <v>执行副总经理</v>
          </cell>
          <cell r="J49" t="str">
            <v>高层</v>
          </cell>
        </row>
        <row r="49">
          <cell r="L49" t="str">
            <v>生产</v>
          </cell>
          <cell r="M49" t="str">
            <v>生产负责人</v>
          </cell>
          <cell r="N49" t="str">
            <v>TJ3</v>
          </cell>
        </row>
        <row r="50">
          <cell r="F50" t="str">
            <v>黎冬波</v>
          </cell>
          <cell r="G50" t="str">
            <v>生产部</v>
          </cell>
          <cell r="H50" t="str">
            <v>生产办公室</v>
          </cell>
          <cell r="I50" t="str">
            <v>总工程师</v>
          </cell>
          <cell r="J50" t="str">
            <v>高层</v>
          </cell>
        </row>
        <row r="50">
          <cell r="L50" t="str">
            <v>生产</v>
          </cell>
        </row>
        <row r="50">
          <cell r="N50" t="str">
            <v>TJ3</v>
          </cell>
        </row>
        <row r="51">
          <cell r="F51" t="str">
            <v>张俊峰</v>
          </cell>
          <cell r="G51" t="str">
            <v>生产部</v>
          </cell>
          <cell r="H51" t="str">
            <v>生产办公室</v>
          </cell>
          <cell r="I51" t="str">
            <v>副厂长</v>
          </cell>
          <cell r="J51" t="str">
            <v>高层</v>
          </cell>
        </row>
        <row r="51">
          <cell r="L51" t="str">
            <v>生产</v>
          </cell>
        </row>
        <row r="51">
          <cell r="N51" t="str">
            <v>TJ3</v>
          </cell>
        </row>
        <row r="52">
          <cell r="F52" t="str">
            <v>谢柴胜</v>
          </cell>
          <cell r="G52" t="str">
            <v>生产部</v>
          </cell>
          <cell r="H52" t="str">
            <v>生产办公室</v>
          </cell>
          <cell r="I52" t="str">
            <v>副厂长</v>
          </cell>
          <cell r="J52" t="str">
            <v>高层</v>
          </cell>
        </row>
        <row r="52">
          <cell r="L52" t="str">
            <v>生产</v>
          </cell>
        </row>
        <row r="52">
          <cell r="N52" t="str">
            <v>TJ3</v>
          </cell>
        </row>
        <row r="53">
          <cell r="F53" t="str">
            <v>张国靖</v>
          </cell>
          <cell r="G53" t="str">
            <v>生产部</v>
          </cell>
          <cell r="H53" t="str">
            <v>生产办公室</v>
          </cell>
          <cell r="I53" t="str">
            <v>副总工程师</v>
          </cell>
          <cell r="J53" t="str">
            <v>高层</v>
          </cell>
        </row>
        <row r="53">
          <cell r="L53" t="str">
            <v>生产</v>
          </cell>
        </row>
        <row r="53">
          <cell r="N53" t="str">
            <v>TJ3</v>
          </cell>
        </row>
        <row r="54">
          <cell r="F54" t="str">
            <v>孙彦波</v>
          </cell>
          <cell r="G54" t="str">
            <v>生产部</v>
          </cell>
          <cell r="H54" t="str">
            <v>生产办公室</v>
          </cell>
          <cell r="I54" t="str">
            <v>副厂长</v>
          </cell>
          <cell r="J54" t="str">
            <v>高层</v>
          </cell>
        </row>
        <row r="54">
          <cell r="L54" t="str">
            <v>生产</v>
          </cell>
        </row>
        <row r="54">
          <cell r="N54" t="str">
            <v>TJ3</v>
          </cell>
        </row>
        <row r="55">
          <cell r="F55" t="str">
            <v>马振千</v>
          </cell>
          <cell r="G55" t="str">
            <v>生产管理办公室</v>
          </cell>
          <cell r="H55" t="str">
            <v>-</v>
          </cell>
          <cell r="I55" t="str">
            <v>副总经理</v>
          </cell>
          <cell r="J55" t="str">
            <v>高层</v>
          </cell>
        </row>
        <row r="55">
          <cell r="L55" t="str">
            <v>生产</v>
          </cell>
        </row>
        <row r="55">
          <cell r="N55" t="str">
            <v>TJ3&amp;TX</v>
          </cell>
        </row>
        <row r="56">
          <cell r="F56" t="str">
            <v>李明林</v>
          </cell>
          <cell r="G56" t="str">
            <v>生产部</v>
          </cell>
          <cell r="H56" t="str">
            <v>生产部</v>
          </cell>
          <cell r="I56" t="str">
            <v>副总裁</v>
          </cell>
          <cell r="J56" t="str">
            <v>高层</v>
          </cell>
        </row>
        <row r="56">
          <cell r="L56" t="str">
            <v>生产</v>
          </cell>
          <cell r="M56" t="str">
            <v>生产负责人</v>
          </cell>
          <cell r="N56" t="str">
            <v>DH1</v>
          </cell>
        </row>
        <row r="57">
          <cell r="F57" t="str">
            <v>李振伟</v>
          </cell>
          <cell r="G57" t="str">
            <v>生产部</v>
          </cell>
          <cell r="H57" t="str">
            <v>-</v>
          </cell>
          <cell r="I57" t="str">
            <v>总工程师</v>
          </cell>
          <cell r="J57" t="str">
            <v>高层</v>
          </cell>
        </row>
        <row r="57">
          <cell r="L57" t="str">
            <v>生产</v>
          </cell>
        </row>
        <row r="57">
          <cell r="N57" t="str">
            <v>DH1</v>
          </cell>
        </row>
        <row r="58">
          <cell r="F58" t="str">
            <v>王致</v>
          </cell>
          <cell r="G58" t="str">
            <v>生产部</v>
          </cell>
          <cell r="H58" t="str">
            <v>-</v>
          </cell>
          <cell r="I58" t="str">
            <v>副总工程师</v>
          </cell>
          <cell r="J58" t="str">
            <v>高层</v>
          </cell>
        </row>
        <row r="58">
          <cell r="L58" t="str">
            <v>生产</v>
          </cell>
        </row>
        <row r="58">
          <cell r="N58" t="str">
            <v>DH1</v>
          </cell>
        </row>
        <row r="59">
          <cell r="F59" t="str">
            <v>刘江</v>
          </cell>
          <cell r="G59" t="str">
            <v>生产部</v>
          </cell>
          <cell r="H59" t="str">
            <v>生产部</v>
          </cell>
          <cell r="I59" t="str">
            <v>副厂长</v>
          </cell>
          <cell r="J59" t="str">
            <v>高层</v>
          </cell>
        </row>
        <row r="59">
          <cell r="L59" t="str">
            <v>生产</v>
          </cell>
        </row>
        <row r="59">
          <cell r="N59" t="str">
            <v>DH1</v>
          </cell>
        </row>
        <row r="60">
          <cell r="F60" t="str">
            <v>李鹏</v>
          </cell>
          <cell r="G60" t="str">
            <v>生产部</v>
          </cell>
          <cell r="H60" t="str">
            <v>生产部</v>
          </cell>
          <cell r="I60" t="str">
            <v>副厂长</v>
          </cell>
          <cell r="J60" t="str">
            <v>高层</v>
          </cell>
        </row>
        <row r="60">
          <cell r="L60" t="str">
            <v>生产</v>
          </cell>
        </row>
        <row r="60">
          <cell r="N60" t="str">
            <v>DH1</v>
          </cell>
        </row>
        <row r="61">
          <cell r="F61" t="str">
            <v>于忠禹</v>
          </cell>
          <cell r="G61" t="str">
            <v>生产部</v>
          </cell>
          <cell r="H61" t="str">
            <v>生产部</v>
          </cell>
          <cell r="I61" t="str">
            <v>副厂长</v>
          </cell>
          <cell r="J61" t="str">
            <v>高层</v>
          </cell>
        </row>
        <row r="61">
          <cell r="L61" t="str">
            <v>生产</v>
          </cell>
        </row>
        <row r="61">
          <cell r="N61" t="str">
            <v>DH1</v>
          </cell>
        </row>
        <row r="62">
          <cell r="F62" t="str">
            <v>周啸然</v>
          </cell>
          <cell r="G62" t="str">
            <v>生产部</v>
          </cell>
          <cell r="H62" t="str">
            <v>-</v>
          </cell>
          <cell r="I62" t="str">
            <v>副总工程师</v>
          </cell>
          <cell r="J62" t="str">
            <v>高层</v>
          </cell>
        </row>
        <row r="62">
          <cell r="L62" t="str">
            <v>生产</v>
          </cell>
        </row>
        <row r="62">
          <cell r="N62" t="str">
            <v>DH1</v>
          </cell>
        </row>
        <row r="63">
          <cell r="F63" t="str">
            <v>李成印</v>
          </cell>
          <cell r="G63" t="str">
            <v>生产部</v>
          </cell>
          <cell r="H63" t="str">
            <v>-</v>
          </cell>
          <cell r="I63" t="str">
            <v>副总工程师</v>
          </cell>
          <cell r="J63" t="str">
            <v>高层</v>
          </cell>
        </row>
        <row r="63">
          <cell r="L63" t="str">
            <v>生产</v>
          </cell>
        </row>
        <row r="63">
          <cell r="N63" t="str">
            <v>DH1</v>
          </cell>
        </row>
        <row r="64">
          <cell r="F64" t="str">
            <v>王维刚</v>
          </cell>
          <cell r="G64" t="str">
            <v>生产设备部</v>
          </cell>
          <cell r="H64" t="str">
            <v>生产设备部</v>
          </cell>
          <cell r="I64" t="str">
            <v>副厂长</v>
          </cell>
          <cell r="J64" t="str">
            <v>高层</v>
          </cell>
        </row>
        <row r="64">
          <cell r="L64" t="str">
            <v>生产</v>
          </cell>
        </row>
        <row r="64">
          <cell r="N64" t="str">
            <v>DH1</v>
          </cell>
        </row>
        <row r="65">
          <cell r="F65" t="str">
            <v>孙云峰</v>
          </cell>
          <cell r="G65" t="str">
            <v>供应部</v>
          </cell>
        </row>
        <row r="65">
          <cell r="J65" t="str">
            <v>高层</v>
          </cell>
        </row>
        <row r="65">
          <cell r="L65" t="str">
            <v>职能</v>
          </cell>
        </row>
        <row r="65">
          <cell r="N65" t="str">
            <v>供应部</v>
          </cell>
        </row>
        <row r="66">
          <cell r="F66" t="str">
            <v>张猛</v>
          </cell>
          <cell r="G66" t="str">
            <v>生产部</v>
          </cell>
          <cell r="H66" t="str">
            <v>生产部</v>
          </cell>
          <cell r="I66" t="str">
            <v>副厂长</v>
          </cell>
          <cell r="J66" t="str">
            <v>高层</v>
          </cell>
        </row>
        <row r="66">
          <cell r="L66" t="str">
            <v>生产</v>
          </cell>
          <cell r="M66" t="str">
            <v>生产负责人</v>
          </cell>
          <cell r="N66" t="str">
            <v>DH2</v>
          </cell>
        </row>
        <row r="67">
          <cell r="F67" t="str">
            <v>范艳武</v>
          </cell>
          <cell r="G67" t="str">
            <v>生产部</v>
          </cell>
          <cell r="H67" t="str">
            <v>-</v>
          </cell>
          <cell r="I67" t="str">
            <v>厂长</v>
          </cell>
          <cell r="J67" t="str">
            <v>高层</v>
          </cell>
        </row>
        <row r="67">
          <cell r="L67" t="str">
            <v>生产</v>
          </cell>
          <cell r="M67" t="str">
            <v>生产负责人</v>
          </cell>
          <cell r="N67" t="str">
            <v>DH3</v>
          </cell>
        </row>
        <row r="68">
          <cell r="F68" t="str">
            <v>苟水平</v>
          </cell>
          <cell r="G68" t="str">
            <v>生产部</v>
          </cell>
          <cell r="H68" t="str">
            <v>-</v>
          </cell>
          <cell r="I68" t="str">
            <v>副总工程师</v>
          </cell>
          <cell r="J68" t="str">
            <v>高层</v>
          </cell>
        </row>
        <row r="68">
          <cell r="L68" t="str">
            <v>生产</v>
          </cell>
        </row>
        <row r="68">
          <cell r="N68" t="str">
            <v>DH3</v>
          </cell>
        </row>
        <row r="69">
          <cell r="F69" t="str">
            <v>孙磊</v>
          </cell>
          <cell r="G69" t="str">
            <v>生产部</v>
          </cell>
          <cell r="H69" t="str">
            <v>生产部</v>
          </cell>
          <cell r="I69" t="str">
            <v>副厂长</v>
          </cell>
          <cell r="J69" t="str">
            <v>高层</v>
          </cell>
        </row>
        <row r="69">
          <cell r="L69" t="str">
            <v>生产</v>
          </cell>
        </row>
        <row r="69">
          <cell r="N69" t="str">
            <v>DH3</v>
          </cell>
        </row>
        <row r="70">
          <cell r="F70" t="str">
            <v>朱凤军</v>
          </cell>
          <cell r="G70" t="str">
            <v>生产部</v>
          </cell>
          <cell r="H70" t="str">
            <v>生产办公室</v>
          </cell>
          <cell r="I70" t="str">
            <v>厂长</v>
          </cell>
          <cell r="J70" t="str">
            <v>高层</v>
          </cell>
        </row>
        <row r="70">
          <cell r="L70" t="str">
            <v>生产</v>
          </cell>
          <cell r="M70" t="str">
            <v>生产负责人</v>
          </cell>
          <cell r="N70" t="str">
            <v>FX2</v>
          </cell>
        </row>
        <row r="71">
          <cell r="F71" t="str">
            <v>晏伟</v>
          </cell>
          <cell r="G71" t="str">
            <v>生产技术部</v>
          </cell>
          <cell r="H71" t="str">
            <v>-</v>
          </cell>
          <cell r="I71" t="str">
            <v>总工程师</v>
          </cell>
          <cell r="J71" t="str">
            <v>高层</v>
          </cell>
        </row>
        <row r="71">
          <cell r="L71" t="str">
            <v>生产</v>
          </cell>
        </row>
        <row r="71">
          <cell r="N71" t="str">
            <v>FX2</v>
          </cell>
        </row>
        <row r="72">
          <cell r="F72" t="str">
            <v>孙斌</v>
          </cell>
          <cell r="G72" t="str">
            <v>生产部</v>
          </cell>
          <cell r="H72" t="str">
            <v>3号楼罐区</v>
          </cell>
          <cell r="I72" t="str">
            <v>副厂长</v>
          </cell>
          <cell r="J72" t="str">
            <v>高层</v>
          </cell>
        </row>
        <row r="72">
          <cell r="L72" t="str">
            <v>生产</v>
          </cell>
        </row>
        <row r="73">
          <cell r="F73" t="str">
            <v>王恒大</v>
          </cell>
          <cell r="G73" t="str">
            <v>生产部</v>
          </cell>
          <cell r="H73" t="str">
            <v>生产办公室</v>
          </cell>
          <cell r="I73" t="str">
            <v>副厂长</v>
          </cell>
          <cell r="J73" t="str">
            <v>高层</v>
          </cell>
        </row>
        <row r="73">
          <cell r="L73" t="str">
            <v>生产</v>
          </cell>
        </row>
        <row r="73">
          <cell r="N73" t="str">
            <v>FX2</v>
          </cell>
        </row>
        <row r="74">
          <cell r="F74" t="str">
            <v>王海波</v>
          </cell>
          <cell r="G74" t="str">
            <v>监察部</v>
          </cell>
          <cell r="H74" t="str">
            <v>监察部</v>
          </cell>
          <cell r="I74" t="str">
            <v>副总经理</v>
          </cell>
          <cell r="J74" t="str">
            <v>高层</v>
          </cell>
        </row>
        <row r="74">
          <cell r="L74" t="str">
            <v>生产</v>
          </cell>
        </row>
        <row r="74">
          <cell r="N74" t="str">
            <v>FX2</v>
          </cell>
        </row>
        <row r="75">
          <cell r="F75" t="str">
            <v>张伟</v>
          </cell>
          <cell r="G75" t="str">
            <v>分析化学部（南厂）</v>
          </cell>
          <cell r="H75" t="str">
            <v>-</v>
          </cell>
          <cell r="I75" t="str">
            <v>副总经理</v>
          </cell>
          <cell r="J75" t="str">
            <v>高层</v>
          </cell>
        </row>
        <row r="75">
          <cell r="L75" t="str">
            <v>分析</v>
          </cell>
          <cell r="M75" t="str">
            <v>分析负责人</v>
          </cell>
          <cell r="N75" t="str">
            <v>ARD-CMMD</v>
          </cell>
        </row>
        <row r="76">
          <cell r="F76" t="str">
            <v>徐小琴</v>
          </cell>
          <cell r="G76" t="str">
            <v>分析化学部（南厂）</v>
          </cell>
          <cell r="H76" t="str">
            <v>多肽组</v>
          </cell>
          <cell r="I76" t="str">
            <v>执行总监</v>
          </cell>
          <cell r="J76" t="str">
            <v>高层</v>
          </cell>
        </row>
        <row r="76">
          <cell r="L76" t="str">
            <v>分析</v>
          </cell>
          <cell r="M76" t="str">
            <v>分析负责人</v>
          </cell>
          <cell r="N76" t="str">
            <v>ARD-CMMD</v>
          </cell>
        </row>
        <row r="77">
          <cell r="F77" t="str">
            <v>张子渊</v>
          </cell>
          <cell r="G77" t="str">
            <v>分析化学部</v>
          </cell>
          <cell r="H77" t="str">
            <v>AD</v>
          </cell>
          <cell r="I77" t="str">
            <v>高级主管</v>
          </cell>
          <cell r="J77" t="str">
            <v>中层</v>
          </cell>
        </row>
        <row r="77">
          <cell r="L77" t="str">
            <v>分析</v>
          </cell>
        </row>
        <row r="77">
          <cell r="N77" t="str">
            <v>ARD-CMMD</v>
          </cell>
        </row>
        <row r="78">
          <cell r="F78" t="str">
            <v>曹蓓</v>
          </cell>
          <cell r="G78" t="str">
            <v>分析化学部（南厂）</v>
          </cell>
          <cell r="H78" t="str">
            <v>毒素-连接体组</v>
          </cell>
          <cell r="I78" t="str">
            <v>高级主管</v>
          </cell>
          <cell r="J78" t="str">
            <v>中层</v>
          </cell>
        </row>
        <row r="78">
          <cell r="L78" t="str">
            <v>分析</v>
          </cell>
          <cell r="M78" t="str">
            <v>分析负责人</v>
          </cell>
          <cell r="N78" t="str">
            <v>ARD-CMMD</v>
          </cell>
        </row>
        <row r="79">
          <cell r="F79" t="str">
            <v>但勇波</v>
          </cell>
          <cell r="G79" t="str">
            <v>分析化学部</v>
          </cell>
          <cell r="H79" t="str">
            <v>AD</v>
          </cell>
          <cell r="I79" t="str">
            <v>执行总监</v>
          </cell>
          <cell r="J79" t="str">
            <v>高层</v>
          </cell>
        </row>
        <row r="79">
          <cell r="L79" t="str">
            <v>分析</v>
          </cell>
          <cell r="M79" t="str">
            <v>分析负责人</v>
          </cell>
          <cell r="N79" t="str">
            <v>ARD</v>
          </cell>
        </row>
        <row r="80">
          <cell r="F80" t="str">
            <v>李超</v>
          </cell>
          <cell r="G80" t="str">
            <v>分析化学部</v>
          </cell>
          <cell r="H80" t="str">
            <v>AD</v>
          </cell>
          <cell r="I80" t="str">
            <v>高级主管</v>
          </cell>
          <cell r="J80" t="str">
            <v>中层</v>
          </cell>
        </row>
        <row r="80">
          <cell r="L80" t="str">
            <v>分析</v>
          </cell>
        </row>
        <row r="80">
          <cell r="N80" t="str">
            <v>ARD CT3</v>
          </cell>
        </row>
        <row r="81">
          <cell r="F81" t="str">
            <v>崔连艳</v>
          </cell>
          <cell r="G81" t="str">
            <v>分析化学部</v>
          </cell>
          <cell r="H81" t="str">
            <v>AC管理办公室</v>
          </cell>
          <cell r="I81" t="str">
            <v>高级主管</v>
          </cell>
          <cell r="J81" t="str">
            <v>中层</v>
          </cell>
        </row>
        <row r="81">
          <cell r="L81" t="str">
            <v>分析</v>
          </cell>
        </row>
        <row r="81">
          <cell r="N81" t="str">
            <v>ARD CT4</v>
          </cell>
        </row>
        <row r="82">
          <cell r="F82" t="str">
            <v>张坛杰</v>
          </cell>
          <cell r="G82" t="str">
            <v>分析化学部</v>
          </cell>
          <cell r="H82" t="str">
            <v>AD</v>
          </cell>
          <cell r="I82" t="str">
            <v>执行总监</v>
          </cell>
          <cell r="J82" t="str">
            <v>高层</v>
          </cell>
        </row>
        <row r="82">
          <cell r="L82" t="str">
            <v>分析</v>
          </cell>
          <cell r="M82" t="str">
            <v>分析负责人</v>
          </cell>
          <cell r="N82" t="str">
            <v>ARD</v>
          </cell>
        </row>
        <row r="83">
          <cell r="F83" t="str">
            <v>邓丽</v>
          </cell>
          <cell r="G83" t="str">
            <v>分析化学部</v>
          </cell>
          <cell r="H83" t="str">
            <v>AD</v>
          </cell>
          <cell r="I83" t="str">
            <v>高级主管</v>
          </cell>
          <cell r="J83" t="str">
            <v>中层</v>
          </cell>
        </row>
        <row r="83">
          <cell r="L83" t="str">
            <v>分析</v>
          </cell>
        </row>
        <row r="83">
          <cell r="N83" t="str">
            <v>ARD CT6</v>
          </cell>
        </row>
        <row r="84">
          <cell r="F84" t="str">
            <v>王雅琼</v>
          </cell>
          <cell r="G84" t="str">
            <v>分析化学部</v>
          </cell>
          <cell r="H84" t="str">
            <v>AD</v>
          </cell>
          <cell r="I84" t="str">
            <v>高级主管</v>
          </cell>
          <cell r="J84" t="str">
            <v>中层</v>
          </cell>
        </row>
        <row r="84">
          <cell r="L84" t="str">
            <v>分析</v>
          </cell>
        </row>
        <row r="84">
          <cell r="N84" t="str">
            <v>ARD CT5</v>
          </cell>
        </row>
        <row r="85">
          <cell r="F85" t="str">
            <v>黄玲</v>
          </cell>
          <cell r="G85" t="str">
            <v>分析化学部</v>
          </cell>
          <cell r="H85" t="str">
            <v>AD</v>
          </cell>
          <cell r="I85" t="str">
            <v>高级主管</v>
          </cell>
          <cell r="J85" t="str">
            <v>中层</v>
          </cell>
        </row>
        <row r="85">
          <cell r="L85" t="str">
            <v>分析</v>
          </cell>
        </row>
        <row r="85">
          <cell r="N85" t="str">
            <v>ARD CT1</v>
          </cell>
        </row>
        <row r="86">
          <cell r="F86" t="str">
            <v>刘佳</v>
          </cell>
          <cell r="G86" t="str">
            <v>分析化学部</v>
          </cell>
          <cell r="H86" t="str">
            <v>AR</v>
          </cell>
          <cell r="I86" t="str">
            <v>执行总监</v>
          </cell>
          <cell r="J86" t="str">
            <v>高层</v>
          </cell>
        </row>
        <row r="86">
          <cell r="L86" t="str">
            <v>分析</v>
          </cell>
          <cell r="M86" t="str">
            <v>分析负责人</v>
          </cell>
          <cell r="N86" t="str">
            <v>ARD-AR&amp;中心实验室</v>
          </cell>
        </row>
        <row r="87">
          <cell r="F87" t="str">
            <v>许胜男</v>
          </cell>
          <cell r="G87" t="str">
            <v>分析化学部</v>
          </cell>
          <cell r="H87" t="str">
            <v>AR</v>
          </cell>
          <cell r="I87" t="str">
            <v>高级主管</v>
          </cell>
          <cell r="J87" t="str">
            <v>中层</v>
          </cell>
        </row>
        <row r="87">
          <cell r="L87" t="str">
            <v>分析</v>
          </cell>
        </row>
        <row r="87">
          <cell r="N87" t="str">
            <v>ARD</v>
          </cell>
        </row>
        <row r="88">
          <cell r="F88" t="str">
            <v>张海晴</v>
          </cell>
          <cell r="G88" t="str">
            <v>分析化学部</v>
          </cell>
          <cell r="H88" t="str">
            <v>中心实验室</v>
          </cell>
          <cell r="I88" t="str">
            <v>高级主管</v>
          </cell>
          <cell r="J88" t="str">
            <v>中层</v>
          </cell>
        </row>
        <row r="88">
          <cell r="L88" t="str">
            <v>分析</v>
          </cell>
        </row>
        <row r="88">
          <cell r="N88" t="str">
            <v>中心实验室</v>
          </cell>
        </row>
        <row r="89">
          <cell r="F89" t="str">
            <v>刘佳</v>
          </cell>
          <cell r="G89" t="str">
            <v>分析化学部</v>
          </cell>
          <cell r="H89" t="str">
            <v>AR</v>
          </cell>
          <cell r="I89" t="str">
            <v>执行总监</v>
          </cell>
          <cell r="J89" t="str">
            <v>高层</v>
          </cell>
        </row>
        <row r="89">
          <cell r="L89" t="str">
            <v>分析</v>
          </cell>
          <cell r="M89" t="str">
            <v>分析负责人</v>
          </cell>
          <cell r="N89" t="str">
            <v>ARD-CSBT</v>
          </cell>
        </row>
        <row r="90">
          <cell r="F90" t="str">
            <v>朱久霞</v>
          </cell>
          <cell r="G90" t="str">
            <v>分析化学部（北厂）</v>
          </cell>
          <cell r="H90" t="str">
            <v>-</v>
          </cell>
          <cell r="I90" t="str">
            <v>高级主管</v>
          </cell>
          <cell r="J90" t="str">
            <v>中层</v>
          </cell>
          <cell r="K90" t="str">
            <v>###</v>
          </cell>
          <cell r="L90" t="str">
            <v>分析</v>
          </cell>
        </row>
        <row r="90">
          <cell r="N90" t="str">
            <v>ARD</v>
          </cell>
        </row>
        <row r="91">
          <cell r="F91" t="str">
            <v>金伟</v>
          </cell>
          <cell r="G91" t="str">
            <v>制剂部</v>
          </cell>
          <cell r="H91" t="str">
            <v>制剂质量控制部</v>
          </cell>
          <cell r="I91" t="str">
            <v>执行总监</v>
          </cell>
          <cell r="J91" t="str">
            <v>高层</v>
          </cell>
        </row>
        <row r="91">
          <cell r="L91" t="str">
            <v>分析</v>
          </cell>
          <cell r="M91" t="str">
            <v>分析负责人</v>
          </cell>
          <cell r="N91" t="str">
            <v>ARD-制剂</v>
          </cell>
        </row>
        <row r="92">
          <cell r="F92" t="str">
            <v>齐志立</v>
          </cell>
          <cell r="G92" t="str">
            <v>分析管理办公室</v>
          </cell>
          <cell r="H92" t="str">
            <v>-</v>
          </cell>
          <cell r="I92" t="str">
            <v>高级主管</v>
          </cell>
          <cell r="J92" t="str">
            <v>中层</v>
          </cell>
        </row>
        <row r="92">
          <cell r="L92" t="str">
            <v>分析</v>
          </cell>
        </row>
        <row r="92">
          <cell r="N92" t="str">
            <v>ARD管理办公室</v>
          </cell>
        </row>
        <row r="93">
          <cell r="F93" t="str">
            <v>王汝祥</v>
          </cell>
          <cell r="G93" t="str">
            <v>质量控制部</v>
          </cell>
          <cell r="H93" t="str">
            <v>-</v>
          </cell>
          <cell r="I93" t="str">
            <v>副总裁</v>
          </cell>
          <cell r="J93" t="str">
            <v>高层</v>
          </cell>
        </row>
        <row r="93">
          <cell r="L93" t="str">
            <v>分析</v>
          </cell>
          <cell r="M93" t="str">
            <v>分析负责人</v>
          </cell>
          <cell r="N93" t="str">
            <v>QC</v>
          </cell>
        </row>
        <row r="94">
          <cell r="F94" t="str">
            <v>王海妮</v>
          </cell>
          <cell r="G94" t="str">
            <v>质量控制部（南厂）</v>
          </cell>
          <cell r="H94" t="str">
            <v>-</v>
          </cell>
          <cell r="I94" t="str">
            <v>高级主管</v>
          </cell>
          <cell r="J94" t="str">
            <v>中层</v>
          </cell>
        </row>
        <row r="94">
          <cell r="L94" t="str">
            <v>分析</v>
          </cell>
          <cell r="M94" t="str">
            <v>分析负责人</v>
          </cell>
          <cell r="N94" t="str">
            <v>CMMD QC</v>
          </cell>
        </row>
        <row r="95">
          <cell r="F95" t="str">
            <v>傅强</v>
          </cell>
          <cell r="G95" t="str">
            <v>质量控制部</v>
          </cell>
          <cell r="H95" t="str">
            <v>质量控制部</v>
          </cell>
          <cell r="I95" t="str">
            <v>执行总监</v>
          </cell>
          <cell r="J95" t="str">
            <v>高层</v>
          </cell>
        </row>
        <row r="95">
          <cell r="L95" t="str">
            <v>分析</v>
          </cell>
          <cell r="M95" t="str">
            <v>分析负责人</v>
          </cell>
          <cell r="N95" t="str">
            <v>DH1 QC</v>
          </cell>
        </row>
        <row r="96">
          <cell r="F96" t="str">
            <v>王治国</v>
          </cell>
          <cell r="G96" t="str">
            <v>分析化学部</v>
          </cell>
          <cell r="H96" t="str">
            <v>分析化学部</v>
          </cell>
          <cell r="I96" t="str">
            <v>高级主管</v>
          </cell>
          <cell r="J96" t="str">
            <v>中层</v>
          </cell>
        </row>
        <row r="96">
          <cell r="L96" t="str">
            <v>分析</v>
          </cell>
        </row>
        <row r="96">
          <cell r="N96" t="str">
            <v>DH1 QC1</v>
          </cell>
        </row>
        <row r="97">
          <cell r="F97" t="str">
            <v>李哲</v>
          </cell>
          <cell r="G97" t="str">
            <v>质量控制部</v>
          </cell>
          <cell r="H97" t="str">
            <v>成品检测组</v>
          </cell>
          <cell r="I97" t="str">
            <v>高级主管</v>
          </cell>
          <cell r="J97" t="str">
            <v>中层</v>
          </cell>
        </row>
        <row r="97">
          <cell r="L97" t="str">
            <v>分析</v>
          </cell>
        </row>
        <row r="97">
          <cell r="N97" t="str">
            <v>DH1 QC2</v>
          </cell>
        </row>
        <row r="98">
          <cell r="F98" t="str">
            <v>党宝玉</v>
          </cell>
          <cell r="G98" t="str">
            <v>质量控制部</v>
          </cell>
          <cell r="H98" t="str">
            <v>合规性管理</v>
          </cell>
          <cell r="I98" t="str">
            <v>高级主管</v>
          </cell>
          <cell r="J98" t="str">
            <v>中层</v>
          </cell>
        </row>
        <row r="98">
          <cell r="L98" t="str">
            <v>分析</v>
          </cell>
        </row>
        <row r="98">
          <cell r="N98" t="str">
            <v>DH1 QC2</v>
          </cell>
        </row>
        <row r="99">
          <cell r="F99" t="str">
            <v>李龙</v>
          </cell>
          <cell r="G99" t="str">
            <v>质量控制部</v>
          </cell>
          <cell r="H99" t="str">
            <v>运行支持</v>
          </cell>
          <cell r="I99" t="str">
            <v>高级主管</v>
          </cell>
          <cell r="J99" t="str">
            <v>中层</v>
          </cell>
        </row>
        <row r="99">
          <cell r="L99" t="str">
            <v>分析</v>
          </cell>
          <cell r="M99" t="str">
            <v>分析负责人</v>
          </cell>
          <cell r="N99" t="str">
            <v>TJ3 QC</v>
          </cell>
        </row>
        <row r="100">
          <cell r="F100" t="str">
            <v>周丽萍</v>
          </cell>
          <cell r="G100" t="str">
            <v>质量控制部</v>
          </cell>
          <cell r="H100" t="str">
            <v>原料检测</v>
          </cell>
          <cell r="I100" t="str">
            <v>高级主管</v>
          </cell>
          <cell r="J100" t="str">
            <v>中层</v>
          </cell>
        </row>
        <row r="100">
          <cell r="L100" t="str">
            <v>分析</v>
          </cell>
        </row>
        <row r="100">
          <cell r="N100" t="str">
            <v>TJ3 QC</v>
          </cell>
        </row>
        <row r="101">
          <cell r="F101" t="str">
            <v>刘少恩</v>
          </cell>
          <cell r="G101" t="str">
            <v>质量控制部</v>
          </cell>
          <cell r="H101" t="str">
            <v>-</v>
          </cell>
          <cell r="I101" t="str">
            <v>高级主管</v>
          </cell>
          <cell r="J101" t="str">
            <v>中层</v>
          </cell>
        </row>
        <row r="101">
          <cell r="L101" t="str">
            <v>分析</v>
          </cell>
          <cell r="M101" t="str">
            <v>分析负责人</v>
          </cell>
          <cell r="N101" t="str">
            <v>TJ2 QC</v>
          </cell>
        </row>
        <row r="102">
          <cell r="F102" t="str">
            <v>李平</v>
          </cell>
          <cell r="G102" t="str">
            <v>分析化学部</v>
          </cell>
          <cell r="H102" t="str">
            <v>仪器验证组</v>
          </cell>
          <cell r="I102" t="str">
            <v>高级主管</v>
          </cell>
          <cell r="J102" t="str">
            <v>中层</v>
          </cell>
        </row>
        <row r="102">
          <cell r="L102" t="str">
            <v>分析</v>
          </cell>
        </row>
        <row r="102">
          <cell r="N102" t="str">
            <v>QC 仪器验证组</v>
          </cell>
        </row>
        <row r="103">
          <cell r="F103" t="str">
            <v>连邦</v>
          </cell>
          <cell r="G103" t="str">
            <v>制剂部</v>
          </cell>
          <cell r="H103" t="str">
            <v>制剂质量控制部</v>
          </cell>
          <cell r="I103" t="str">
            <v>高级主管</v>
          </cell>
          <cell r="J103" t="str">
            <v>中层</v>
          </cell>
        </row>
        <row r="103">
          <cell r="L103" t="str">
            <v>分析</v>
          </cell>
          <cell r="M103" t="str">
            <v>分析负责人</v>
          </cell>
          <cell r="N103" t="str">
            <v>制剂 QC</v>
          </cell>
        </row>
        <row r="104">
          <cell r="F104" t="str">
            <v>曹晓玉</v>
          </cell>
          <cell r="G104" t="str">
            <v>制剂部</v>
          </cell>
          <cell r="H104" t="str">
            <v>制剂质量控制部</v>
          </cell>
          <cell r="I104" t="str">
            <v>高级主管</v>
          </cell>
          <cell r="J104" t="str">
            <v>中层</v>
          </cell>
        </row>
        <row r="104">
          <cell r="L104" t="str">
            <v>分析</v>
          </cell>
        </row>
        <row r="104">
          <cell r="N104" t="str">
            <v>制剂 QC</v>
          </cell>
        </row>
        <row r="105">
          <cell r="F105" t="str">
            <v>张娜</v>
          </cell>
          <cell r="G105" t="str">
            <v>合成生物技术研发中心</v>
          </cell>
          <cell r="H105" t="str">
            <v>管理办公室</v>
          </cell>
          <cell r="I105" t="str">
            <v>副总裁</v>
          </cell>
          <cell r="J105" t="str">
            <v>高层</v>
          </cell>
        </row>
        <row r="105">
          <cell r="L105" t="str">
            <v>研发平台</v>
          </cell>
          <cell r="M105" t="str">
            <v>研发平台负责人</v>
          </cell>
          <cell r="N105" t="str">
            <v>CSBT</v>
          </cell>
        </row>
        <row r="106">
          <cell r="F106" t="str">
            <v>焦学成</v>
          </cell>
          <cell r="G106" t="str">
            <v>合成生物技术研发中心</v>
          </cell>
          <cell r="H106" t="str">
            <v>酶工程技术平台</v>
          </cell>
          <cell r="I106" t="str">
            <v>副总经理</v>
          </cell>
          <cell r="J106" t="str">
            <v>高层</v>
          </cell>
        </row>
        <row r="106">
          <cell r="L106" t="str">
            <v>研发平台</v>
          </cell>
        </row>
        <row r="106">
          <cell r="N106" t="str">
            <v>CSBT</v>
          </cell>
        </row>
        <row r="107">
          <cell r="F107" t="str">
            <v>李响</v>
          </cell>
          <cell r="G107" t="str">
            <v>合成生物技术研发中心</v>
          </cell>
          <cell r="H107" t="str">
            <v>生产技术研发平台</v>
          </cell>
          <cell r="I107" t="str">
            <v>执行总监</v>
          </cell>
          <cell r="J107" t="str">
            <v>高层</v>
          </cell>
        </row>
        <row r="107">
          <cell r="L107" t="str">
            <v>研发平台</v>
          </cell>
        </row>
        <row r="107">
          <cell r="N107" t="str">
            <v>CSBT</v>
          </cell>
        </row>
        <row r="108">
          <cell r="F108" t="str">
            <v>董学武</v>
          </cell>
          <cell r="G108" t="str">
            <v>合成生物技术研发中心</v>
          </cell>
          <cell r="H108" t="str">
            <v>生产技术研发平台</v>
          </cell>
          <cell r="I108" t="str">
            <v>执行总监</v>
          </cell>
          <cell r="J108" t="str">
            <v>高层</v>
          </cell>
        </row>
        <row r="108">
          <cell r="L108" t="str">
            <v>研发平台</v>
          </cell>
        </row>
        <row r="108">
          <cell r="N108" t="str">
            <v>CSBT</v>
          </cell>
        </row>
        <row r="109">
          <cell r="F109" t="str">
            <v>李延龙</v>
          </cell>
          <cell r="G109" t="str">
            <v>合成生物技术研发中心</v>
          </cell>
          <cell r="H109" t="str">
            <v>生产平台</v>
          </cell>
          <cell r="I109" t="str">
            <v>副厂长</v>
          </cell>
          <cell r="J109" t="str">
            <v>高层</v>
          </cell>
        </row>
        <row r="109">
          <cell r="L109" t="str">
            <v>研发平台</v>
          </cell>
        </row>
        <row r="109">
          <cell r="N109" t="str">
            <v>CSBT</v>
          </cell>
        </row>
        <row r="110">
          <cell r="F110" t="str">
            <v>林汉</v>
          </cell>
          <cell r="G110" t="str">
            <v>工艺科学中心</v>
          </cell>
          <cell r="H110" t="str">
            <v>工艺化学组</v>
          </cell>
          <cell r="I110" t="str">
            <v>执行总监</v>
          </cell>
          <cell r="J110" t="str">
            <v>高层</v>
          </cell>
        </row>
        <row r="110">
          <cell r="L110" t="str">
            <v>研发平台</v>
          </cell>
          <cell r="M110" t="str">
            <v>研发平台负责人</v>
          </cell>
          <cell r="N110" t="str">
            <v>CEPS</v>
          </cell>
        </row>
        <row r="111">
          <cell r="F111" t="str">
            <v>冯先涛</v>
          </cell>
          <cell r="G111" t="str">
            <v>工艺科学中心</v>
          </cell>
          <cell r="H111" t="str">
            <v>连续化学组</v>
          </cell>
          <cell r="I111" t="str">
            <v>高级主管</v>
          </cell>
          <cell r="J111" t="str">
            <v>中层</v>
          </cell>
        </row>
        <row r="111">
          <cell r="L111" t="str">
            <v>研发平台</v>
          </cell>
        </row>
        <row r="111">
          <cell r="N111" t="str">
            <v>CEPS</v>
          </cell>
        </row>
        <row r="112">
          <cell r="F112" t="str">
            <v>陶建</v>
          </cell>
          <cell r="G112" t="str">
            <v>连续科学技术中心</v>
          </cell>
          <cell r="H112" t="str">
            <v>连续科学技术中心</v>
          </cell>
          <cell r="I112" t="str">
            <v>副总裁</v>
          </cell>
          <cell r="J112" t="str">
            <v>高层</v>
          </cell>
        </row>
        <row r="112">
          <cell r="L112" t="str">
            <v>研发平台</v>
          </cell>
          <cell r="M112" t="str">
            <v>研发平台负责人</v>
          </cell>
          <cell r="N112" t="str">
            <v>CFCT</v>
          </cell>
        </row>
        <row r="113">
          <cell r="F113" t="str">
            <v>王金亮</v>
          </cell>
          <cell r="G113" t="str">
            <v>-</v>
          </cell>
          <cell r="H113" t="str">
            <v>业务开发部</v>
          </cell>
          <cell r="I113" t="str">
            <v>副总经理</v>
          </cell>
          <cell r="J113" t="str">
            <v>高层</v>
          </cell>
        </row>
        <row r="113">
          <cell r="L113" t="str">
            <v>研发平台</v>
          </cell>
        </row>
        <row r="113">
          <cell r="N113" t="str">
            <v>业务开发部</v>
          </cell>
        </row>
        <row r="114">
          <cell r="F114" t="str">
            <v>易玲珑</v>
          </cell>
          <cell r="G114" t="str">
            <v>-</v>
          </cell>
          <cell r="H114" t="str">
            <v>核心客户项目组14</v>
          </cell>
          <cell r="I114" t="str">
            <v>总工程师</v>
          </cell>
          <cell r="J114" t="str">
            <v>高层</v>
          </cell>
        </row>
        <row r="114">
          <cell r="L114" t="str">
            <v>研发平台</v>
          </cell>
          <cell r="M114" t="str">
            <v>研发平台负责人</v>
          </cell>
          <cell r="N114" t="str">
            <v>CT14</v>
          </cell>
        </row>
        <row r="115">
          <cell r="F115" t="str">
            <v>范金林</v>
          </cell>
          <cell r="G115" t="str">
            <v>-</v>
          </cell>
          <cell r="H115" t="str">
            <v>核心客户项目组14</v>
          </cell>
          <cell r="I115" t="str">
            <v>副总经理</v>
          </cell>
          <cell r="J115" t="str">
            <v>高层</v>
          </cell>
        </row>
        <row r="115">
          <cell r="L115" t="str">
            <v>研发平台</v>
          </cell>
        </row>
        <row r="115">
          <cell r="N115" t="str">
            <v>CT14</v>
          </cell>
        </row>
        <row r="116">
          <cell r="F116" t="str">
            <v>侯阿雷</v>
          </cell>
          <cell r="G116" t="str">
            <v>工艺工程技术中心</v>
          </cell>
          <cell r="H116" t="str">
            <v>工艺安全</v>
          </cell>
          <cell r="I116" t="str">
            <v>高级主管</v>
          </cell>
          <cell r="J116" t="str">
            <v>中层</v>
          </cell>
        </row>
        <row r="116">
          <cell r="L116" t="str">
            <v>研发平台</v>
          </cell>
        </row>
        <row r="116">
          <cell r="N116" t="str">
            <v>IEPE</v>
          </cell>
        </row>
        <row r="117">
          <cell r="F117" t="str">
            <v>刘同</v>
          </cell>
          <cell r="G117" t="str">
            <v>工艺工程技术中心</v>
          </cell>
          <cell r="H117" t="str">
            <v>化学工程科学与应用</v>
          </cell>
          <cell r="I117" t="str">
            <v>高级主管</v>
          </cell>
          <cell r="J117" t="str">
            <v>中层</v>
          </cell>
        </row>
        <row r="117">
          <cell r="L117" t="str">
            <v>研发平台</v>
          </cell>
        </row>
        <row r="117">
          <cell r="N117" t="str">
            <v>IEPE</v>
          </cell>
        </row>
        <row r="118">
          <cell r="F118" t="str">
            <v>周立飞</v>
          </cell>
          <cell r="G118" t="str">
            <v>工艺工程技术中心</v>
          </cell>
          <cell r="H118" t="str">
            <v>结晶工程</v>
          </cell>
          <cell r="I118" t="str">
            <v>高级主管</v>
          </cell>
          <cell r="J118" t="str">
            <v>中层</v>
          </cell>
        </row>
        <row r="118">
          <cell r="L118" t="str">
            <v>研发平台</v>
          </cell>
        </row>
        <row r="118">
          <cell r="N118" t="str">
            <v>IEPE</v>
          </cell>
        </row>
        <row r="119">
          <cell r="F119" t="str">
            <v>徐鹏程</v>
          </cell>
          <cell r="G119" t="str">
            <v>智能制造技术中心</v>
          </cell>
          <cell r="H119" t="str">
            <v>技术平台建设和方案设计</v>
          </cell>
          <cell r="I119" t="str">
            <v>高级主管</v>
          </cell>
          <cell r="J119" t="str">
            <v>中层</v>
          </cell>
        </row>
        <row r="119">
          <cell r="L119" t="str">
            <v>研发平台</v>
          </cell>
          <cell r="M119" t="str">
            <v>研发平台负责人</v>
          </cell>
          <cell r="N119" t="str">
            <v>CIMT</v>
          </cell>
        </row>
        <row r="120">
          <cell r="F120" t="str">
            <v>陈俊彰</v>
          </cell>
          <cell r="G120" t="str">
            <v>药物递送和制剂研发中心</v>
          </cell>
          <cell r="H120" t="str">
            <v>-</v>
          </cell>
          <cell r="I120" t="str">
            <v>执行总监</v>
          </cell>
          <cell r="J120" t="str">
            <v>高层</v>
          </cell>
        </row>
        <row r="120">
          <cell r="L120" t="str">
            <v>研发平台</v>
          </cell>
          <cell r="M120" t="str">
            <v>研发平台负责人</v>
          </cell>
          <cell r="N120" t="str">
            <v>CDDF</v>
          </cell>
        </row>
        <row r="121">
          <cell r="F121" t="str">
            <v>李顺子</v>
          </cell>
          <cell r="G121" t="str">
            <v>TIDES创新技术中心</v>
          </cell>
          <cell r="H121" t="str">
            <v>TIDES创新技术中心</v>
          </cell>
          <cell r="I121" t="str">
            <v>助理副总裁</v>
          </cell>
        </row>
        <row r="121">
          <cell r="L121" t="str">
            <v>研发平台</v>
          </cell>
          <cell r="M121" t="str">
            <v>研发平台负责人</v>
          </cell>
        </row>
        <row r="122">
          <cell r="F122" t="str">
            <v>朱劲松</v>
          </cell>
          <cell r="G122" t="str">
            <v>监察部</v>
          </cell>
          <cell r="H122" t="str">
            <v>-</v>
          </cell>
          <cell r="I122" t="str">
            <v>执行副总经理</v>
          </cell>
          <cell r="J122" t="str">
            <v>高层</v>
          </cell>
        </row>
        <row r="122">
          <cell r="L122" t="str">
            <v>职能</v>
          </cell>
        </row>
        <row r="122">
          <cell r="N122" t="str">
            <v>EHS</v>
          </cell>
        </row>
        <row r="123">
          <cell r="F123" t="str">
            <v>熊先清</v>
          </cell>
          <cell r="G123" t="str">
            <v>监察部</v>
          </cell>
          <cell r="H123" t="str">
            <v>合规体系管理组</v>
          </cell>
          <cell r="I123" t="str">
            <v>高级主管</v>
          </cell>
          <cell r="J123" t="str">
            <v>中层</v>
          </cell>
        </row>
        <row r="123">
          <cell r="L123" t="str">
            <v>职能</v>
          </cell>
        </row>
        <row r="123">
          <cell r="N123" t="str">
            <v>EHS</v>
          </cell>
        </row>
        <row r="124">
          <cell r="F124" t="str">
            <v>邵永臣</v>
          </cell>
          <cell r="G124" t="str">
            <v>监察部</v>
          </cell>
          <cell r="H124" t="str">
            <v>工艺安全管理组</v>
          </cell>
          <cell r="I124" t="str">
            <v>高级主管</v>
          </cell>
          <cell r="J124" t="str">
            <v>中层</v>
          </cell>
        </row>
        <row r="124">
          <cell r="L124" t="str">
            <v>职能</v>
          </cell>
        </row>
        <row r="124">
          <cell r="N124" t="str">
            <v>EHS</v>
          </cell>
        </row>
        <row r="125">
          <cell r="F125" t="str">
            <v>刘天元</v>
          </cell>
          <cell r="G125" t="str">
            <v>监察部</v>
          </cell>
          <cell r="H125" t="str">
            <v>工业卫生管理组</v>
          </cell>
          <cell r="I125" t="str">
            <v>高级主管</v>
          </cell>
          <cell r="J125" t="str">
            <v>中层</v>
          </cell>
        </row>
        <row r="125">
          <cell r="L125" t="str">
            <v>职能</v>
          </cell>
        </row>
        <row r="125">
          <cell r="N125" t="str">
            <v>EHS</v>
          </cell>
        </row>
        <row r="126">
          <cell r="F126" t="str">
            <v>侯英凤</v>
          </cell>
          <cell r="G126" t="str">
            <v>监察部</v>
          </cell>
          <cell r="H126" t="str">
            <v>环保管理组</v>
          </cell>
          <cell r="I126" t="str">
            <v>高级主管</v>
          </cell>
          <cell r="J126" t="str">
            <v>中层</v>
          </cell>
        </row>
        <row r="126">
          <cell r="L126" t="str">
            <v>职能</v>
          </cell>
        </row>
        <row r="126">
          <cell r="N126" t="str">
            <v>EHS</v>
          </cell>
        </row>
        <row r="127">
          <cell r="F127" t="str">
            <v>刘维江</v>
          </cell>
          <cell r="G127" t="str">
            <v>质量保证部</v>
          </cell>
          <cell r="H127" t="str">
            <v>质量保证部</v>
          </cell>
          <cell r="I127" t="str">
            <v>副总经理</v>
          </cell>
          <cell r="J127" t="str">
            <v>高层</v>
          </cell>
        </row>
        <row r="127">
          <cell r="L127" t="str">
            <v>职能</v>
          </cell>
        </row>
        <row r="127">
          <cell r="N127" t="str">
            <v>QA</v>
          </cell>
        </row>
        <row r="128">
          <cell r="F128" t="str">
            <v>杨明旸</v>
          </cell>
          <cell r="G128" t="str">
            <v>质量保证部</v>
          </cell>
          <cell r="H128" t="str">
            <v>项目技术QA/纯水管理/物料放行组/设备验证/校正组</v>
          </cell>
          <cell r="I128" t="str">
            <v>执行总监</v>
          </cell>
          <cell r="J128" t="str">
            <v>高层</v>
          </cell>
        </row>
        <row r="128">
          <cell r="L128" t="str">
            <v>职能</v>
          </cell>
        </row>
        <row r="128">
          <cell r="N128" t="str">
            <v>QA</v>
          </cell>
        </row>
        <row r="129">
          <cell r="F129" t="str">
            <v>赵洪梅</v>
          </cell>
          <cell r="G129" t="str">
            <v>质量保证部</v>
          </cell>
          <cell r="H129" t="str">
            <v>长期调任组</v>
          </cell>
          <cell r="I129" t="str">
            <v>执行总监</v>
          </cell>
          <cell r="J129" t="str">
            <v>高层</v>
          </cell>
        </row>
        <row r="129">
          <cell r="L129" t="str">
            <v>职能</v>
          </cell>
        </row>
        <row r="129">
          <cell r="N129" t="str">
            <v>QA</v>
          </cell>
        </row>
        <row r="130">
          <cell r="F130" t="str">
            <v>于生辉</v>
          </cell>
          <cell r="G130" t="str">
            <v>质量保证部</v>
          </cell>
          <cell r="H130" t="str">
            <v>-</v>
          </cell>
          <cell r="I130" t="str">
            <v>副总经理</v>
          </cell>
          <cell r="J130" t="str">
            <v>高层</v>
          </cell>
        </row>
        <row r="130">
          <cell r="L130" t="str">
            <v>职能</v>
          </cell>
        </row>
        <row r="130">
          <cell r="N130" t="str">
            <v>QA</v>
          </cell>
        </row>
        <row r="131">
          <cell r="F131" t="str">
            <v>李萍</v>
          </cell>
          <cell r="G131" t="str">
            <v>质量保证部</v>
          </cell>
          <cell r="H131" t="str">
            <v>产品质量管理</v>
          </cell>
          <cell r="I131" t="str">
            <v>执行总监</v>
          </cell>
          <cell r="J131" t="str">
            <v>高层</v>
          </cell>
        </row>
        <row r="131">
          <cell r="L131" t="str">
            <v>职能</v>
          </cell>
        </row>
        <row r="131">
          <cell r="N131" t="str">
            <v>QA</v>
          </cell>
        </row>
        <row r="132">
          <cell r="F132" t="str">
            <v>张俊磊</v>
          </cell>
          <cell r="G132" t="str">
            <v>质量保证部</v>
          </cell>
          <cell r="H132" t="str">
            <v>实验室监管</v>
          </cell>
          <cell r="I132" t="str">
            <v>高级主管</v>
          </cell>
          <cell r="J132" t="str">
            <v>中层</v>
          </cell>
        </row>
        <row r="132">
          <cell r="L132" t="str">
            <v>职能</v>
          </cell>
        </row>
        <row r="132">
          <cell r="N132" t="str">
            <v>QA</v>
          </cell>
        </row>
        <row r="133">
          <cell r="F133" t="str">
            <v>许艳梅</v>
          </cell>
          <cell r="G133" t="str">
            <v>质量保证部</v>
          </cell>
          <cell r="H133" t="str">
            <v>-</v>
          </cell>
          <cell r="I133" t="str">
            <v>高级主管</v>
          </cell>
          <cell r="J133" t="str">
            <v>中层</v>
          </cell>
        </row>
        <row r="133">
          <cell r="L133" t="str">
            <v>职能</v>
          </cell>
        </row>
        <row r="133">
          <cell r="N133" t="str">
            <v>QA</v>
          </cell>
        </row>
        <row r="134">
          <cell r="F134" t="str">
            <v>陶强</v>
          </cell>
          <cell r="G134" t="str">
            <v>质量保证部</v>
          </cell>
          <cell r="H134" t="str">
            <v>产品质量管理</v>
          </cell>
          <cell r="I134" t="str">
            <v>高级主管</v>
          </cell>
          <cell r="J134" t="str">
            <v>中层</v>
          </cell>
        </row>
        <row r="134">
          <cell r="L134" t="str">
            <v>职能</v>
          </cell>
        </row>
        <row r="134">
          <cell r="N134" t="str">
            <v>QA</v>
          </cell>
        </row>
        <row r="135">
          <cell r="F135" t="str">
            <v>王野</v>
          </cell>
          <cell r="G135" t="str">
            <v>制剂部</v>
          </cell>
          <cell r="H135" t="str">
            <v>制剂质量保证部</v>
          </cell>
          <cell r="I135" t="str">
            <v>执行总监</v>
          </cell>
          <cell r="J135" t="str">
            <v>高层</v>
          </cell>
        </row>
        <row r="135">
          <cell r="L135" t="str">
            <v>职能</v>
          </cell>
        </row>
        <row r="135">
          <cell r="N135" t="str">
            <v>QA</v>
          </cell>
        </row>
        <row r="136">
          <cell r="F136" t="str">
            <v>孙国龙</v>
          </cell>
          <cell r="G136" t="str">
            <v>制剂部</v>
          </cell>
          <cell r="H136" t="str">
            <v>制剂质量保证部</v>
          </cell>
          <cell r="I136" t="str">
            <v>高级主管</v>
          </cell>
          <cell r="J136" t="str">
            <v>中层</v>
          </cell>
        </row>
        <row r="136">
          <cell r="L136" t="str">
            <v>职能</v>
          </cell>
        </row>
        <row r="136">
          <cell r="N136" t="str">
            <v>QA</v>
          </cell>
        </row>
        <row r="137">
          <cell r="F137" t="str">
            <v>李楠</v>
          </cell>
          <cell r="G137" t="str">
            <v>外包供应链生产管理部</v>
          </cell>
          <cell r="H137" t="str">
            <v>-</v>
          </cell>
          <cell r="I137" t="str">
            <v>执行副总经理</v>
          </cell>
          <cell r="J137" t="str">
            <v>高层</v>
          </cell>
        </row>
        <row r="137">
          <cell r="L137" t="str">
            <v>职能</v>
          </cell>
        </row>
        <row r="137">
          <cell r="N137" t="str">
            <v>外包供应链生产管理部</v>
          </cell>
        </row>
        <row r="138">
          <cell r="F138" t="str">
            <v>屈春花</v>
          </cell>
          <cell r="G138" t="str">
            <v>外包供应链生产管理部</v>
          </cell>
          <cell r="H138" t="str">
            <v>供应链保障</v>
          </cell>
          <cell r="I138" t="str">
            <v>高级主管</v>
          </cell>
          <cell r="J138" t="str">
            <v>中层</v>
          </cell>
        </row>
        <row r="138">
          <cell r="L138" t="str">
            <v>职能</v>
          </cell>
        </row>
        <row r="138">
          <cell r="N138" t="str">
            <v>外包供应链生产管理部</v>
          </cell>
        </row>
        <row r="139">
          <cell r="F139" t="str">
            <v>周昭贤</v>
          </cell>
          <cell r="G139" t="str">
            <v>工程设备投资部</v>
          </cell>
          <cell r="H139" t="str">
            <v>-</v>
          </cell>
          <cell r="I139" t="str">
            <v>副总经理</v>
          </cell>
          <cell r="J139" t="str">
            <v>高层</v>
          </cell>
        </row>
        <row r="139">
          <cell r="L139" t="str">
            <v>职能</v>
          </cell>
        </row>
        <row r="139">
          <cell r="N139" t="str">
            <v>工程设备投资部</v>
          </cell>
        </row>
        <row r="140">
          <cell r="F140" t="str">
            <v>郭宏杰</v>
          </cell>
          <cell r="G140" t="str">
            <v>工程设备投资部</v>
          </cell>
          <cell r="H140" t="str">
            <v>工程组</v>
          </cell>
          <cell r="I140" t="str">
            <v>执行总监</v>
          </cell>
          <cell r="J140" t="str">
            <v>高层</v>
          </cell>
        </row>
        <row r="140">
          <cell r="L140" t="str">
            <v>职能</v>
          </cell>
        </row>
        <row r="140">
          <cell r="N140" t="str">
            <v>工程设备投资部</v>
          </cell>
        </row>
        <row r="141">
          <cell r="F141" t="str">
            <v>隋利国</v>
          </cell>
          <cell r="G141" t="str">
            <v>综合办公室</v>
          </cell>
          <cell r="H141" t="str">
            <v>行政组</v>
          </cell>
          <cell r="I141" t="str">
            <v>副总裁</v>
          </cell>
          <cell r="J141" t="str">
            <v>高层</v>
          </cell>
        </row>
        <row r="141">
          <cell r="L141" t="str">
            <v>职能</v>
          </cell>
        </row>
        <row r="141">
          <cell r="N141" t="str">
            <v>综合办公室</v>
          </cell>
        </row>
        <row r="142">
          <cell r="F142" t="str">
            <v>杨晶</v>
          </cell>
          <cell r="G142" t="str">
            <v>董事长办公室</v>
          </cell>
          <cell r="H142" t="str">
            <v>-</v>
          </cell>
          <cell r="I142" t="str">
            <v>副总裁</v>
          </cell>
          <cell r="J142" t="str">
            <v>高层</v>
          </cell>
        </row>
        <row r="142">
          <cell r="L142" t="str">
            <v>职能</v>
          </cell>
        </row>
        <row r="142">
          <cell r="N142" t="str">
            <v>董事长办公室</v>
          </cell>
        </row>
        <row r="143">
          <cell r="F143" t="str">
            <v>路璐</v>
          </cell>
          <cell r="G143" t="str">
            <v>信息管理部</v>
          </cell>
          <cell r="H143" t="str">
            <v>-</v>
          </cell>
          <cell r="I143" t="str">
            <v>副总裁</v>
          </cell>
          <cell r="J143" t="str">
            <v>高层</v>
          </cell>
        </row>
        <row r="143">
          <cell r="L143" t="str">
            <v>职能</v>
          </cell>
        </row>
        <row r="143">
          <cell r="N143" t="str">
            <v>信息管理部</v>
          </cell>
        </row>
        <row r="144">
          <cell r="F144" t="str">
            <v>孙晨</v>
          </cell>
          <cell r="G144" t="str">
            <v>信息管理部</v>
          </cell>
          <cell r="H144" t="str">
            <v>合规验证组</v>
          </cell>
          <cell r="I144" t="str">
            <v>执行总监</v>
          </cell>
          <cell r="J144" t="str">
            <v>高层</v>
          </cell>
        </row>
        <row r="144">
          <cell r="L144" t="str">
            <v>职能</v>
          </cell>
        </row>
        <row r="144">
          <cell r="N144" t="str">
            <v>信息管理部</v>
          </cell>
        </row>
        <row r="145">
          <cell r="F145" t="str">
            <v>朵庆春</v>
          </cell>
          <cell r="G145" t="str">
            <v>商务拓展部</v>
          </cell>
          <cell r="H145" t="str">
            <v>-</v>
          </cell>
          <cell r="I145" t="str">
            <v>执行总监</v>
          </cell>
          <cell r="J145" t="str">
            <v>高层</v>
          </cell>
        </row>
        <row r="145">
          <cell r="L145" t="str">
            <v>职能</v>
          </cell>
        </row>
        <row r="145">
          <cell r="N145" t="str">
            <v>商务拓展部</v>
          </cell>
        </row>
        <row r="146">
          <cell r="F146" t="str">
            <v>黄默</v>
          </cell>
          <cell r="G146" t="str">
            <v>财务部</v>
          </cell>
          <cell r="H146" t="str">
            <v>-</v>
          </cell>
          <cell r="I146" t="str">
            <v>副总经理</v>
          </cell>
          <cell r="J146" t="str">
            <v>高层</v>
          </cell>
        </row>
        <row r="146">
          <cell r="L146" t="str">
            <v>职能</v>
          </cell>
        </row>
        <row r="146">
          <cell r="N146" t="str">
            <v>财务部</v>
          </cell>
        </row>
        <row r="147">
          <cell r="F147" t="str">
            <v>夏璐</v>
          </cell>
          <cell r="G147" t="str">
            <v>-</v>
          </cell>
          <cell r="H147" t="str">
            <v>-</v>
          </cell>
          <cell r="I147" t="str">
            <v>投资者关系执行总监</v>
          </cell>
          <cell r="J147" t="str">
            <v>高层</v>
          </cell>
        </row>
        <row r="147">
          <cell r="L147" t="str">
            <v>职能</v>
          </cell>
        </row>
        <row r="147">
          <cell r="N147" t="str">
            <v>-</v>
          </cell>
        </row>
        <row r="148">
          <cell r="F148" t="str">
            <v>岳大洲</v>
          </cell>
          <cell r="G148" t="str">
            <v>投资管理部</v>
          </cell>
          <cell r="H148" t="str">
            <v>-</v>
          </cell>
          <cell r="I148" t="str">
            <v>副总裁</v>
          </cell>
          <cell r="J148" t="str">
            <v>高层</v>
          </cell>
        </row>
        <row r="148">
          <cell r="L148" t="str">
            <v>职能</v>
          </cell>
        </row>
        <row r="148">
          <cell r="N148" t="str">
            <v>投资管理部</v>
          </cell>
        </row>
        <row r="149">
          <cell r="F149" t="str">
            <v>陈晶</v>
          </cell>
          <cell r="G149" t="str">
            <v>集团生产管理办公室</v>
          </cell>
          <cell r="H149" t="str">
            <v>-</v>
          </cell>
          <cell r="I149" t="str">
            <v>高级主管</v>
          </cell>
          <cell r="J149" t="str">
            <v>中层</v>
          </cell>
        </row>
        <row r="149">
          <cell r="L149" t="str">
            <v>职能</v>
          </cell>
        </row>
        <row r="149">
          <cell r="N149" t="str">
            <v>集团生产管理办公室</v>
          </cell>
        </row>
        <row r="150">
          <cell r="F150" t="str">
            <v>王亮</v>
          </cell>
          <cell r="G150" t="str">
            <v>集团生产管理办公室</v>
          </cell>
          <cell r="H150" t="str">
            <v>-</v>
          </cell>
          <cell r="I150" t="str">
            <v>高级主管</v>
          </cell>
          <cell r="J150" t="str">
            <v>中层</v>
          </cell>
        </row>
        <row r="150">
          <cell r="L150" t="str">
            <v>职能</v>
          </cell>
        </row>
        <row r="150">
          <cell r="N150" t="str">
            <v>集团生产管理办公室</v>
          </cell>
        </row>
        <row r="151">
          <cell r="F151" t="str">
            <v>李涛</v>
          </cell>
          <cell r="G151" t="str">
            <v>集团生产管理办公室</v>
          </cell>
          <cell r="H151" t="str">
            <v>-</v>
          </cell>
          <cell r="I151" t="str">
            <v>高级主管</v>
          </cell>
          <cell r="J151" t="str">
            <v>中层</v>
          </cell>
        </row>
        <row r="151">
          <cell r="L151" t="str">
            <v>职能</v>
          </cell>
        </row>
        <row r="151">
          <cell r="N151" t="str">
            <v>集团生产管理办公室</v>
          </cell>
        </row>
        <row r="152">
          <cell r="F152" t="str">
            <v>谭国栋</v>
          </cell>
          <cell r="G152" t="str">
            <v>供应部</v>
          </cell>
          <cell r="H152" t="str">
            <v>-</v>
          </cell>
          <cell r="I152" t="str">
            <v>高级主管</v>
          </cell>
          <cell r="J152" t="str">
            <v>中层</v>
          </cell>
        </row>
        <row r="152">
          <cell r="L152" t="str">
            <v>职能</v>
          </cell>
        </row>
        <row r="152">
          <cell r="N152" t="str">
            <v>供应部</v>
          </cell>
        </row>
        <row r="153">
          <cell r="F153" t="str">
            <v>李翠莲</v>
          </cell>
          <cell r="G153" t="str">
            <v>人力资源部</v>
          </cell>
          <cell r="H153" t="str">
            <v>-</v>
          </cell>
          <cell r="I153" t="str">
            <v>副总经理</v>
          </cell>
          <cell r="J153" t="str">
            <v>高层</v>
          </cell>
        </row>
        <row r="153">
          <cell r="L153" t="str">
            <v>职能</v>
          </cell>
        </row>
        <row r="153">
          <cell r="N153" t="str">
            <v>人力资源部</v>
          </cell>
        </row>
        <row r="154">
          <cell r="F154" t="str">
            <v>郑帅</v>
          </cell>
          <cell r="G154" t="str">
            <v>人力资源部</v>
          </cell>
          <cell r="H154" t="str">
            <v>-</v>
          </cell>
          <cell r="I154" t="str">
            <v>执行总监</v>
          </cell>
          <cell r="J154" t="str">
            <v>高层</v>
          </cell>
        </row>
        <row r="154">
          <cell r="L154" t="str">
            <v>职能</v>
          </cell>
        </row>
        <row r="154">
          <cell r="N154" t="str">
            <v>人力资源部</v>
          </cell>
        </row>
        <row r="155">
          <cell r="F155" t="str">
            <v>赵春香</v>
          </cell>
          <cell r="G155" t="str">
            <v>人力资源部</v>
          </cell>
          <cell r="H155" t="str">
            <v>招聘中心</v>
          </cell>
          <cell r="I155" t="str">
            <v>执行总监</v>
          </cell>
          <cell r="J155" t="str">
            <v>高层</v>
          </cell>
        </row>
        <row r="155">
          <cell r="L155" t="str">
            <v>职能</v>
          </cell>
        </row>
        <row r="155">
          <cell r="N155" t="str">
            <v>人力资源部</v>
          </cell>
        </row>
        <row r="156">
          <cell r="F156" t="str">
            <v>骆振宇</v>
          </cell>
          <cell r="G156" t="str">
            <v>公共事业部</v>
          </cell>
          <cell r="H156" t="str">
            <v>-</v>
          </cell>
          <cell r="I156" t="str">
            <v>副总经理</v>
          </cell>
          <cell r="J156" t="str">
            <v>高层</v>
          </cell>
        </row>
        <row r="156">
          <cell r="L156" t="str">
            <v>职能</v>
          </cell>
        </row>
        <row r="156">
          <cell r="N156" t="str">
            <v>公共事业部</v>
          </cell>
        </row>
        <row r="157">
          <cell r="F157" t="str">
            <v>王鑫</v>
          </cell>
          <cell r="G157" t="str">
            <v>北京分公司</v>
          </cell>
          <cell r="H157" t="str">
            <v>北京分公司管理办公室</v>
          </cell>
          <cell r="I157" t="str">
            <v>副总经理</v>
          </cell>
          <cell r="J157" t="str">
            <v>高层</v>
          </cell>
        </row>
        <row r="157">
          <cell r="L157" t="str">
            <v>职能</v>
          </cell>
        </row>
        <row r="157">
          <cell r="N157" t="str">
            <v>北京分公司</v>
          </cell>
        </row>
        <row r="158">
          <cell r="F158" t="str">
            <v>张博然</v>
          </cell>
          <cell r="G158" t="str">
            <v>法务部&amp;审计部</v>
          </cell>
          <cell r="H158" t="str">
            <v>-</v>
          </cell>
          <cell r="I158" t="str">
            <v>执行总监</v>
          </cell>
          <cell r="J158" t="str">
            <v>高层</v>
          </cell>
        </row>
        <row r="158">
          <cell r="L158" t="str">
            <v>职能</v>
          </cell>
        </row>
        <row r="158">
          <cell r="N158" t="str">
            <v>法务部&amp;审计部</v>
          </cell>
        </row>
        <row r="159">
          <cell r="F159" t="str">
            <v>李妍萍</v>
          </cell>
          <cell r="G159" t="str">
            <v>药政事务部</v>
          </cell>
          <cell r="H159" t="str">
            <v>-</v>
          </cell>
          <cell r="I159" t="str">
            <v>执行总监</v>
          </cell>
          <cell r="J159" t="str">
            <v>高层</v>
          </cell>
        </row>
        <row r="159">
          <cell r="L159" t="str">
            <v>职能</v>
          </cell>
        </row>
        <row r="159">
          <cell r="N159" t="str">
            <v>药政事务部</v>
          </cell>
        </row>
        <row r="160">
          <cell r="F160" t="str">
            <v>张婷</v>
          </cell>
          <cell r="G160" t="str">
            <v>运营管理办公室</v>
          </cell>
          <cell r="H160" t="str">
            <v>-</v>
          </cell>
          <cell r="I160" t="str">
            <v>副总裁</v>
          </cell>
          <cell r="J160" t="str">
            <v>高层</v>
          </cell>
        </row>
        <row r="160">
          <cell r="L160" t="str">
            <v>职能</v>
          </cell>
        </row>
        <row r="160">
          <cell r="N160" t="str">
            <v>运营管理办公室</v>
          </cell>
        </row>
        <row r="161">
          <cell r="F161" t="str">
            <v>田万里</v>
          </cell>
          <cell r="G161" t="str">
            <v>运营管理办公室</v>
          </cell>
          <cell r="H161" t="str">
            <v>组3（虚拟）</v>
          </cell>
          <cell r="I161" t="str">
            <v>执行总监</v>
          </cell>
          <cell r="J161" t="str">
            <v>高层</v>
          </cell>
        </row>
        <row r="161">
          <cell r="L161" t="str">
            <v>职能</v>
          </cell>
        </row>
        <row r="161">
          <cell r="N161" t="str">
            <v>运营管理办公室</v>
          </cell>
        </row>
        <row r="162">
          <cell r="F162" t="str">
            <v>张莉</v>
          </cell>
          <cell r="G162" t="str">
            <v>运营管理办公室</v>
          </cell>
          <cell r="H162" t="str">
            <v>组2（虚拟）</v>
          </cell>
          <cell r="I162" t="str">
            <v>高级主管</v>
          </cell>
          <cell r="J162" t="str">
            <v>中层</v>
          </cell>
        </row>
        <row r="162">
          <cell r="L162" t="str">
            <v>职能</v>
          </cell>
        </row>
        <row r="162">
          <cell r="N162" t="str">
            <v>运营管理办公室</v>
          </cell>
        </row>
        <row r="163">
          <cell r="F163" t="str">
            <v>龙小华</v>
          </cell>
          <cell r="G163" t="str">
            <v>项目协调管理办公室</v>
          </cell>
          <cell r="H163" t="str">
            <v>PC组</v>
          </cell>
          <cell r="I163" t="str">
            <v>执行总监</v>
          </cell>
          <cell r="J163" t="str">
            <v>高层</v>
          </cell>
        </row>
        <row r="163">
          <cell r="L163" t="str">
            <v>职能</v>
          </cell>
        </row>
        <row r="163">
          <cell r="N163" t="str">
            <v>PCO</v>
          </cell>
        </row>
        <row r="164">
          <cell r="F164" t="str">
            <v>张继霞</v>
          </cell>
          <cell r="G164" t="str">
            <v>项目协调管理办公室</v>
          </cell>
          <cell r="H164" t="str">
            <v>PC组</v>
          </cell>
          <cell r="I164" t="str">
            <v>高级主管</v>
          </cell>
          <cell r="J164" t="str">
            <v>中层</v>
          </cell>
        </row>
        <row r="164">
          <cell r="L164" t="str">
            <v>职能</v>
          </cell>
        </row>
        <row r="164">
          <cell r="N164" t="str">
            <v>PCO</v>
          </cell>
        </row>
        <row r="165">
          <cell r="F165" t="str">
            <v>胡晓琴</v>
          </cell>
          <cell r="G165" t="str">
            <v>项目协调管理办公室</v>
          </cell>
          <cell r="H165" t="str">
            <v>PC组</v>
          </cell>
          <cell r="I165" t="str">
            <v>高级主管</v>
          </cell>
          <cell r="J165" t="str">
            <v>中层</v>
          </cell>
        </row>
        <row r="165">
          <cell r="L165" t="str">
            <v>职能</v>
          </cell>
        </row>
        <row r="165">
          <cell r="N165" t="str">
            <v>PCO</v>
          </cell>
        </row>
        <row r="166">
          <cell r="F166" t="str">
            <v>王旭</v>
          </cell>
          <cell r="G166" t="str">
            <v>项目协调管理办公室</v>
          </cell>
          <cell r="H166" t="str">
            <v>PC组</v>
          </cell>
          <cell r="I166" t="str">
            <v>高级主管</v>
          </cell>
          <cell r="J166" t="str">
            <v>中层</v>
          </cell>
        </row>
        <row r="166">
          <cell r="L166" t="str">
            <v>职能</v>
          </cell>
        </row>
        <row r="166">
          <cell r="N166" t="str">
            <v>PCO</v>
          </cell>
        </row>
        <row r="167">
          <cell r="F167" t="str">
            <v>刘光超</v>
          </cell>
          <cell r="G167" t="str">
            <v>项目协调管理办公室</v>
          </cell>
          <cell r="H167" t="str">
            <v>报价组</v>
          </cell>
          <cell r="I167" t="str">
            <v>执行总监</v>
          </cell>
          <cell r="J167" t="str">
            <v>高层</v>
          </cell>
        </row>
        <row r="167">
          <cell r="L167" t="str">
            <v>职能</v>
          </cell>
        </row>
        <row r="167">
          <cell r="N167" t="str">
            <v>PCO</v>
          </cell>
        </row>
        <row r="168">
          <cell r="F168" t="str">
            <v>王艳</v>
          </cell>
          <cell r="G168" t="str">
            <v>采购部</v>
          </cell>
          <cell r="H168" t="str">
            <v>主原料采购</v>
          </cell>
          <cell r="I168" t="str">
            <v>执行总监</v>
          </cell>
          <cell r="J168" t="str">
            <v>高层</v>
          </cell>
        </row>
        <row r="168">
          <cell r="L168" t="str">
            <v>职能</v>
          </cell>
        </row>
        <row r="168">
          <cell r="N168" t="str">
            <v>采购部</v>
          </cell>
        </row>
        <row r="169">
          <cell r="F169" t="str">
            <v>唐宁</v>
          </cell>
          <cell r="G169" t="str">
            <v>采购部</v>
          </cell>
          <cell r="H169" t="str">
            <v>非化学品采购</v>
          </cell>
          <cell r="I169" t="str">
            <v>执行总监</v>
          </cell>
          <cell r="J169" t="str">
            <v>高层</v>
          </cell>
        </row>
        <row r="169">
          <cell r="L169" t="str">
            <v>职能</v>
          </cell>
        </row>
        <row r="169">
          <cell r="N169" t="str">
            <v>采购部</v>
          </cell>
        </row>
        <row r="170">
          <cell r="F170" t="str">
            <v>李群</v>
          </cell>
          <cell r="G170" t="str">
            <v>采购部</v>
          </cell>
          <cell r="H170" t="str">
            <v>非主原料采购</v>
          </cell>
          <cell r="I170" t="str">
            <v>高级主管</v>
          </cell>
          <cell r="J170" t="str">
            <v>中层</v>
          </cell>
        </row>
        <row r="170">
          <cell r="L170" t="str">
            <v>职能</v>
          </cell>
        </row>
        <row r="170">
          <cell r="N170" t="str">
            <v>采购部</v>
          </cell>
        </row>
        <row r="175">
          <cell r="F175" t="str">
            <v>房勇</v>
          </cell>
          <cell r="G175" t="str">
            <v>质量控制部</v>
          </cell>
          <cell r="H175" t="str">
            <v>运行支持</v>
          </cell>
          <cell r="I175" t="str">
            <v>高级主管</v>
          </cell>
          <cell r="J175" t="str">
            <v>中层</v>
          </cell>
        </row>
        <row r="176">
          <cell r="F176" t="str">
            <v>聂永广</v>
          </cell>
          <cell r="G176" t="str">
            <v>工艺工程技术中心</v>
          </cell>
          <cell r="H176" t="str">
            <v>化学工程科学与应用</v>
          </cell>
          <cell r="I176" t="str">
            <v>高级主管</v>
          </cell>
          <cell r="J176" t="str">
            <v>中层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8"/>
  <sheetViews>
    <sheetView tabSelected="1" topLeftCell="I5" workbookViewId="0">
      <selection activeCell="Q8" sqref="Q8"/>
    </sheetView>
  </sheetViews>
  <sheetFormatPr defaultColWidth="9" defaultRowHeight="14.5" outlineLevelRow="7"/>
  <cols>
    <col min="1" max="1" width="2.26363636363636" customWidth="1"/>
    <col min="2" max="2" width="4.72727272727273" customWidth="1"/>
    <col min="3" max="3" width="5.86363636363636" customWidth="1"/>
    <col min="5" max="5" width="7.46363636363636" customWidth="1"/>
    <col min="6" max="6" width="10.7272727272727" customWidth="1"/>
    <col min="7" max="7" width="45.4" customWidth="1"/>
    <col min="8" max="12" width="11.4" customWidth="1"/>
    <col min="13" max="13" width="5.72727272727273" customWidth="1"/>
    <col min="14" max="14" width="12.2636363636364" customWidth="1"/>
    <col min="15" max="15" width="56.8181818181818" customWidth="1"/>
    <col min="16" max="16" width="10" customWidth="1"/>
    <col min="17" max="17" width="26" customWidth="1"/>
  </cols>
  <sheetData>
    <row r="2" ht="14.65" customHeight="1" spans="2:17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5"/>
      <c r="J2" s="5"/>
      <c r="K2" s="5"/>
      <c r="L2" s="6"/>
      <c r="M2" s="3" t="s">
        <v>7</v>
      </c>
      <c r="N2" s="3" t="s">
        <v>8</v>
      </c>
      <c r="O2" s="7" t="s">
        <v>9</v>
      </c>
      <c r="P2" s="7" t="s">
        <v>10</v>
      </c>
      <c r="Q2" s="7" t="s">
        <v>11</v>
      </c>
    </row>
    <row r="3" ht="14.65" customHeight="1" spans="2:17">
      <c r="B3" s="8"/>
      <c r="C3" s="8"/>
      <c r="D3" s="8"/>
      <c r="E3" s="8"/>
      <c r="F3" s="8"/>
      <c r="G3" s="8"/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8"/>
      <c r="N3" s="8"/>
      <c r="O3" s="8"/>
      <c r="P3" s="8"/>
      <c r="Q3" s="8"/>
    </row>
    <row r="4" s="1" customFormat="1" ht="226" customHeight="1" spans="2:17">
      <c r="B4" s="10">
        <v>1</v>
      </c>
      <c r="C4" s="10" t="s">
        <v>17</v>
      </c>
      <c r="D4" s="10" t="str">
        <f>VLOOKUP(E4,'[1]2026年上-人员清单'!$F:$N,9,0)</f>
        <v>集团生产管理办公室</v>
      </c>
      <c r="E4" s="10" t="s">
        <v>18</v>
      </c>
      <c r="F4" s="10" t="s">
        <v>19</v>
      </c>
      <c r="G4" s="11" t="s">
        <v>20</v>
      </c>
      <c r="H4" s="12" t="s">
        <v>21</v>
      </c>
      <c r="I4" s="5"/>
      <c r="J4" s="5"/>
      <c r="K4" s="5"/>
      <c r="L4" s="6"/>
      <c r="M4" s="13">
        <v>0.5</v>
      </c>
      <c r="N4" s="14" t="s">
        <v>22</v>
      </c>
      <c r="O4" s="15" t="s">
        <v>23</v>
      </c>
      <c r="P4" s="15"/>
      <c r="Q4" s="15" t="s">
        <v>24</v>
      </c>
    </row>
    <row r="5" s="1" customFormat="1" ht="80" customHeight="1" spans="2:17">
      <c r="B5" s="16"/>
      <c r="C5" s="16"/>
      <c r="D5" s="16"/>
      <c r="E5" s="16"/>
      <c r="F5" s="16"/>
      <c r="G5" s="11" t="s">
        <v>25</v>
      </c>
      <c r="H5" s="12" t="s">
        <v>21</v>
      </c>
      <c r="I5" s="5"/>
      <c r="J5" s="5"/>
      <c r="K5" s="5"/>
      <c r="L5" s="6"/>
      <c r="M5" s="16"/>
      <c r="N5" s="16"/>
      <c r="O5" s="15"/>
      <c r="P5" s="15"/>
      <c r="Q5" s="15" t="s">
        <v>26</v>
      </c>
    </row>
    <row r="6" s="1" customFormat="1" ht="80" customHeight="1" spans="2:17">
      <c r="B6" s="8"/>
      <c r="C6" s="8"/>
      <c r="D6" s="8"/>
      <c r="E6" s="8"/>
      <c r="F6" s="8"/>
      <c r="G6" s="17" t="s">
        <v>27</v>
      </c>
      <c r="H6" s="12" t="s">
        <v>21</v>
      </c>
      <c r="I6" s="5"/>
      <c r="J6" s="5"/>
      <c r="K6" s="5"/>
      <c r="L6" s="6"/>
      <c r="M6" s="8"/>
      <c r="N6" s="8"/>
      <c r="O6" s="15"/>
      <c r="P6" s="15"/>
      <c r="Q6" s="15" t="s">
        <v>26</v>
      </c>
    </row>
    <row r="7" s="1" customFormat="1" ht="80" customHeight="1" spans="2:17">
      <c r="B7" s="10">
        <v>2</v>
      </c>
      <c r="C7" s="10" t="s">
        <v>17</v>
      </c>
      <c r="D7" s="10" t="str">
        <f>VLOOKUP(E7,'[1]2026年上-人员清单'!$F:$N,9,0)</f>
        <v>集团生产管理办公室</v>
      </c>
      <c r="E7" s="10" t="s">
        <v>18</v>
      </c>
      <c r="F7" s="10" t="s">
        <v>28</v>
      </c>
      <c r="G7" s="18" t="s">
        <v>29</v>
      </c>
      <c r="H7" s="19" t="s">
        <v>30</v>
      </c>
      <c r="I7" s="19" t="s">
        <v>31</v>
      </c>
      <c r="J7" s="19" t="s">
        <v>32</v>
      </c>
      <c r="K7" s="19" t="s">
        <v>33</v>
      </c>
      <c r="L7" s="19" t="s">
        <v>34</v>
      </c>
      <c r="M7" s="13">
        <v>0.2</v>
      </c>
      <c r="N7" s="14" t="s">
        <v>22</v>
      </c>
      <c r="O7" s="15"/>
      <c r="P7" s="15"/>
      <c r="Q7" s="15" t="s">
        <v>35</v>
      </c>
    </row>
    <row r="8" s="1" customFormat="1" ht="60" customHeight="1" spans="2:17">
      <c r="B8" s="20">
        <v>3</v>
      </c>
      <c r="C8" s="21" t="s">
        <v>17</v>
      </c>
      <c r="D8" s="21" t="str">
        <f>VLOOKUP(E8,'[1]2026年上-人员清单'!$F:$N,9,0)</f>
        <v>集团生产管理办公室</v>
      </c>
      <c r="E8" s="21" t="s">
        <v>18</v>
      </c>
      <c r="F8" s="21" t="s">
        <v>36</v>
      </c>
      <c r="G8" s="22" t="s">
        <v>37</v>
      </c>
      <c r="H8" s="12" t="s">
        <v>21</v>
      </c>
      <c r="I8" s="5"/>
      <c r="J8" s="5"/>
      <c r="K8" s="5"/>
      <c r="L8" s="6"/>
      <c r="M8" s="23">
        <v>0.3</v>
      </c>
      <c r="N8" s="24" t="s">
        <v>22</v>
      </c>
      <c r="O8" s="15"/>
      <c r="P8" s="15"/>
      <c r="Q8" s="15" t="s">
        <v>38</v>
      </c>
    </row>
  </sheetData>
  <mergeCells count="23">
    <mergeCell ref="H2:L2"/>
    <mergeCell ref="H4:L4"/>
    <mergeCell ref="H5:L5"/>
    <mergeCell ref="H6:L6"/>
    <mergeCell ref="H8:L8"/>
    <mergeCell ref="B2:B3"/>
    <mergeCell ref="B4:B6"/>
    <mergeCell ref="C2:C3"/>
    <mergeCell ref="C4:C6"/>
    <mergeCell ref="D2:D3"/>
    <mergeCell ref="D4:D6"/>
    <mergeCell ref="E2:E3"/>
    <mergeCell ref="E4:E6"/>
    <mergeCell ref="F2:F3"/>
    <mergeCell ref="F4:F6"/>
    <mergeCell ref="G2:G3"/>
    <mergeCell ref="M2:M3"/>
    <mergeCell ref="M4:M6"/>
    <mergeCell ref="N2:N3"/>
    <mergeCell ref="N4:N6"/>
    <mergeCell ref="O2:O3"/>
    <mergeCell ref="P2:P3"/>
    <mergeCell ref="Q2:Q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李涛自评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李涛</cp:lastModifiedBy>
  <dcterms:created xsi:type="dcterms:W3CDTF">2015-06-05T18:19:00Z</dcterms:created>
  <dcterms:modified xsi:type="dcterms:W3CDTF">2026-07-03T09:29:05Z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408B853E24E4449FA8C1BB11FF639C06_12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