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3051 - DPH G-128 Hydrogenation Suite Alterations\Concept Estimate\"/>
    </mc:Choice>
  </mc:AlternateContent>
  <xr:revisionPtr revIDLastSave="0" documentId="13_ncr:1_{24BA62FF-3861-47E4-9F21-5FDA72E80CD2}" xr6:coauthVersionLast="47" xr6:coauthVersionMax="47" xr10:uidLastSave="{00000000-0000-0000-0000-000000000000}"/>
  <bookViews>
    <workbookView xWindow="57480" yWindow="-120" windowWidth="29040" windowHeight="15720" xr2:uid="{9FB99F76-AD84-4EA0-B444-7264AACCCACD}"/>
  </bookViews>
  <sheets>
    <sheet name="2.0.1.Elemental Summary" sheetId="1" r:id="rId1"/>
    <sheet name="2.0.2.Elemental Summary" sheetId="62" r:id="rId2"/>
    <sheet name="2.0.2.0_Facilitating Works" sheetId="70" r:id="rId3"/>
    <sheet name="2.0.2.2_Superstructure" sheetId="71" r:id="rId4"/>
    <sheet name="2.0.2.3_Finishes" sheetId="72" r:id="rId5"/>
    <sheet name="2.0.2.4_FF&amp;E" sheetId="66" r:id="rId6"/>
    <sheet name="2.0.2.5_Services" sheetId="67" r:id="rId7"/>
    <sheet name="2.0.2.9 Prelims and Staff" sheetId="68" r:id="rId8"/>
    <sheet name="2.0.2.11 Professional Services" sheetId="75" r:id="rId9"/>
    <sheet name="2.0.2.12 Client Equipment" sheetId="74" r:id="rId10"/>
    <sheet name="END" sheetId="2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123Graph_A" hidden="1">[1]Results!$A$48:$A$148</definedName>
    <definedName name="__123Graph_ACURVE" hidden="1">'[2]1'!$D$20:$D$31</definedName>
    <definedName name="__123Graph_APAY" hidden="1">'[2]1'!$I$20:$I$46</definedName>
    <definedName name="__123Graph_APLOT" hidden="1">[1]Results!$A$48:$A$148</definedName>
    <definedName name="__123Graph_APLOT1" hidden="1">[1]Results!$D$48:$D$148</definedName>
    <definedName name="__123Graph_X" hidden="1">[1]Results!$B$48:$B$148</definedName>
    <definedName name="__123Graph_XCURVE" hidden="1">'[2]1'!$B$20:$B$31</definedName>
    <definedName name="__123Graph_XPAY" hidden="1">'[2]1'!$B$20:$B$46</definedName>
    <definedName name="__123Graph_XPLOT" hidden="1">[1]Results!$B$48:$B$148</definedName>
    <definedName name="__123Graph_XPLOT1" hidden="1">[1]Results!$B$48:$B$148</definedName>
    <definedName name="__sor1">#REF!</definedName>
    <definedName name="__sor2">#REF!</definedName>
    <definedName name="__sor3">#REF!</definedName>
    <definedName name="__sor4">#REF!</definedName>
    <definedName name="__sor5">#REF!</definedName>
    <definedName name="__sor6">#REF!</definedName>
    <definedName name="__sor7">#REF!</definedName>
    <definedName name="__sor8">#REF!</definedName>
    <definedName name="__sor9">#REF!</definedName>
    <definedName name="_1PRINT_VAL1">[3]Macros!$A$2:$A$13</definedName>
    <definedName name="_2PRINT_VAL2">[3]Macros!$D$2:$D$13</definedName>
    <definedName name="_3PRINT_VAL3">[3]Macros!$G$2:$G$13</definedName>
    <definedName name="_4PRINT_VAL4">[3]Macros!$J$2:$J$13</definedName>
    <definedName name="_5PRINT_VAL5">[3]Macros!$M$2:$M$13</definedName>
    <definedName name="_6PRINT_VAL6">[3]Macros!$P$2:$P$13</definedName>
    <definedName name="_7PRINT_VAL7">[3]Macros!$S$2:$S$13</definedName>
    <definedName name="_8PRINT_VAL8">[3]Macros!$V$2:$V$13</definedName>
    <definedName name="_9PRINT_VAL9">[3]Macros!$Y$2:$Y$13</definedName>
    <definedName name="_Fill" hidden="1">'[4]train cash'!$A$22:$A$49</definedName>
    <definedName name="_Key1" hidden="1">'[2]1'!$A$20</definedName>
    <definedName name="_Order1" hidden="1">255</definedName>
    <definedName name="_Order2" hidden="1">0</definedName>
    <definedName name="_sor1">#REF!</definedName>
    <definedName name="_sor2">#REF!</definedName>
    <definedName name="_sor3">#REF!</definedName>
    <definedName name="_sor4">#REF!</definedName>
    <definedName name="_sor5">#REF!</definedName>
    <definedName name="_sor6">#REF!</definedName>
    <definedName name="_sor7">#REF!</definedName>
    <definedName name="_sor8">#REF!</definedName>
    <definedName name="_sor9">#REF!</definedName>
    <definedName name="_Sort" hidden="1">'[2]1'!$A$20:$I$33</definedName>
    <definedName name="_VAL10">'[3]Valuation 10'!$A$1:$K$88</definedName>
    <definedName name="_VAL7">'[3]Valuation 7'!$A$1:$K$88</definedName>
    <definedName name="_VAL8">'[3]Valuation 8'!$A$1:$K$88</definedName>
    <definedName name="_VAL9">'[3]Valuation 9'!$A$1:$K$88</definedName>
    <definedName name="A" hidden="1">'[4]accom cash'!$A$22:$A$36</definedName>
    <definedName name="compaction">'[5]Land-based Equipment Library'!$C$159:$C$175</definedName>
    <definedName name="concretemixer">'[5]Land-based Equipment Library'!$C$183:$C$188</definedName>
    <definedName name="crawler">'[5]Land-based Equipment Library'!$C$12:$C$32</definedName>
    <definedName name="dumptrucks">'[5]Land-based Equipment Library'!$C$120:$C$132</definedName>
    <definedName name="excavators">'[5]Land-based Equipment Library'!$C$65:$C$88</definedName>
    <definedName name="General_Labourer">#REF!</definedName>
    <definedName name="here">'[6]6th form (E)'!#REF!</definedName>
    <definedName name="KeywordColumn">#REF!</definedName>
    <definedName name="Location1List">#REF!</definedName>
    <definedName name="Location2Column">#REF!</definedName>
    <definedName name="Location2Start">#REF!</definedName>
    <definedName name="Location3Column">#REF!</definedName>
    <definedName name="oldcoll">#REF!</definedName>
    <definedName name="piling">'[5]Land-based Equipment Library'!$C$246:$C$258</definedName>
    <definedName name="_xlnm.Print_Area" localSheetId="0">'2.0.1.Elemental Summary'!$A$1:$G$44</definedName>
    <definedName name="_xlnm.Print_Area" localSheetId="2">'2.0.2.0_Facilitating Works'!$A$1:$H$55</definedName>
    <definedName name="_xlnm.Print_Area" localSheetId="8">'2.0.2.11 Professional Services'!$A$1:$H$31</definedName>
    <definedName name="_xlnm.Print_Area" localSheetId="9">'2.0.2.12 Client Equipment'!$A$1:$H$19</definedName>
    <definedName name="_xlnm.Print_Area" localSheetId="3">'2.0.2.2_Superstructure'!$A$1:$H$35</definedName>
    <definedName name="_xlnm.Print_Area" localSheetId="4">'2.0.2.3_Finishes'!$A$1:$H$39</definedName>
    <definedName name="_xlnm.Print_Area" localSheetId="5">'2.0.2.4_FF&amp;E'!$A$1:$H$30</definedName>
    <definedName name="_xlnm.Print_Area" localSheetId="6">'2.0.2.5_Services'!$A$1:$H$81</definedName>
    <definedName name="_xlnm.Print_Area" localSheetId="7">'2.0.2.9 Prelims and Staff'!$A$1:$H$39</definedName>
    <definedName name="_xlnm.Print_Area" localSheetId="1">'2.0.2.Elemental Summary'!$A$1:$G$51</definedName>
    <definedName name="_xlnm.Print_Area">#REF!</definedName>
    <definedName name="_xlnm.Print_Titles" localSheetId="0">'2.0.1.Elemental Summary'!$1:$6</definedName>
    <definedName name="_xlnm.Print_Titles" localSheetId="2">'2.0.2.0_Facilitating Works'!$1:$10</definedName>
    <definedName name="_xlnm.Print_Titles" localSheetId="8">'2.0.2.11 Professional Services'!$1:$10</definedName>
    <definedName name="_xlnm.Print_Titles" localSheetId="9">'2.0.2.12 Client Equipment'!$1:$10</definedName>
    <definedName name="_xlnm.Print_Titles" localSheetId="3">'2.0.2.2_Superstructure'!$1:$10</definedName>
    <definedName name="_xlnm.Print_Titles" localSheetId="4">'2.0.2.3_Finishes'!$1:$10</definedName>
    <definedName name="_xlnm.Print_Titles" localSheetId="5">'2.0.2.4_FF&amp;E'!$1:$10</definedName>
    <definedName name="_xlnm.Print_Titles" localSheetId="6">'2.0.2.5_Services'!$1:$10</definedName>
    <definedName name="_xlnm.Print_Titles" localSheetId="7">'2.0.2.9 Prelims and Staff'!$1:$10</definedName>
    <definedName name="_xlnm.Print_Titles" localSheetId="1">'2.0.2.Elemental Summary'!$1:$6</definedName>
    <definedName name="QS">#REF!</definedName>
    <definedName name="Target_Fee">'[7]Fees '!$G$13</definedName>
    <definedName name="tractors">'[5]Land-based Equipment Library'!$C$134:$C$157</definedName>
    <definedName name="TypeColumn">#REF!</definedName>
    <definedName name="TypeList">#REF!</definedName>
    <definedName name="TypeStart">#REF!</definedName>
    <definedName name="wrn.RECONCILATION." hidden="1">{#N/A,#N/A,TRUE,"Cover Sheet";#N/A,#N/A,TRUE,"Contingency Summary";#N/A,#N/A,TRUE,"Summary";#N/A,#N/A,TRUE,"Bill No 3";#N/A,#N/A,TRUE,"Bill No 4";#N/A,#N/A,TRUE,"Bill No 5";#N/A,#N/A,TRUE,"Bill No 6";#N/A,#N/A,TRUE,"Bill No 7";#N/A,#N/A,TRUE,"Bill No 7";#N/A,#N/A,TRUE,"Bill No 8";#N/A,#N/A,TRUE,"Bill No 9";#N/A,#N/A,TRUE,"Bill No 10";#N/A,#N/A,TRUE,"Bill No 11";#N/A,#N/A,TRUE,"Bill No 12";#N/A,#N/A,TRUE,"Adjustments";#N/A,#N/A,TRUE,"Additional Costs";#N/A,#N/A,TRUE,"Savings";#N/A,#N/A,TRUE,"Variations"}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66" l="1"/>
  <c r="E21" i="62" s="1"/>
  <c r="E22" i="62" s="1"/>
  <c r="E14" i="1" s="1"/>
  <c r="G14" i="74"/>
  <c r="G18" i="74" s="1"/>
  <c r="E41" i="62" s="1"/>
  <c r="E22" i="1" s="1"/>
  <c r="E24" i="1"/>
  <c r="E26" i="1" s="1"/>
  <c r="F26" i="1" s="1"/>
  <c r="G16" i="70"/>
  <c r="G28" i="75"/>
  <c r="G24" i="75"/>
  <c r="G26" i="75"/>
  <c r="G20" i="75"/>
  <c r="G15" i="75"/>
  <c r="G13" i="75"/>
  <c r="G36" i="68"/>
  <c r="G32" i="68"/>
  <c r="G30" i="68"/>
  <c r="G28" i="68"/>
  <c r="G22" i="68"/>
  <c r="G24" i="68" s="1"/>
  <c r="E34" i="62" s="1"/>
  <c r="G16" i="68"/>
  <c r="G14" i="68"/>
  <c r="G18" i="68" s="1"/>
  <c r="E33" i="62" s="1"/>
  <c r="G72" i="67"/>
  <c r="G74" i="67" s="1"/>
  <c r="G66" i="67"/>
  <c r="G64" i="67"/>
  <c r="G62" i="67"/>
  <c r="G60" i="67"/>
  <c r="G54" i="67"/>
  <c r="G56" i="67" s="1"/>
  <c r="G46" i="67"/>
  <c r="G44" i="67"/>
  <c r="G38" i="67"/>
  <c r="G36" i="67"/>
  <c r="G34" i="67"/>
  <c r="G32" i="67"/>
  <c r="G30" i="67"/>
  <c r="G24" i="67"/>
  <c r="G22" i="67"/>
  <c r="G20" i="67"/>
  <c r="G14" i="67"/>
  <c r="G16" i="67" s="1"/>
  <c r="G26" i="66"/>
  <c r="G24" i="66"/>
  <c r="G22" i="66"/>
  <c r="G20" i="66"/>
  <c r="G16" i="66"/>
  <c r="G14" i="66"/>
  <c r="G34" i="72"/>
  <c r="G32" i="72"/>
  <c r="G26" i="72"/>
  <c r="G24" i="72"/>
  <c r="G22" i="72"/>
  <c r="G16" i="72"/>
  <c r="G14" i="72"/>
  <c r="G32" i="71"/>
  <c r="G30" i="71"/>
  <c r="G28" i="71"/>
  <c r="G26" i="71"/>
  <c r="G20" i="71"/>
  <c r="G18" i="71"/>
  <c r="G16" i="71"/>
  <c r="G14" i="71"/>
  <c r="G18" i="70"/>
  <c r="G52" i="70"/>
  <c r="G50" i="70"/>
  <c r="G48" i="70"/>
  <c r="G46" i="70"/>
  <c r="G44" i="70"/>
  <c r="G42" i="70"/>
  <c r="G40" i="70"/>
  <c r="G38" i="70"/>
  <c r="G32" i="70"/>
  <c r="G30" i="70"/>
  <c r="G28" i="70"/>
  <c r="G26" i="70"/>
  <c r="G24" i="70"/>
  <c r="G22" i="70"/>
  <c r="G20" i="70"/>
  <c r="G14" i="70"/>
  <c r="F24" i="1"/>
  <c r="H44" i="62"/>
  <c r="E45" i="62"/>
  <c r="F45" i="62" s="1"/>
  <c r="F43" i="62"/>
  <c r="F14" i="75"/>
  <c r="G14" i="75" s="1"/>
  <c r="I22" i="1"/>
  <c r="K4" i="62"/>
  <c r="G36" i="72"/>
  <c r="G30" i="75" l="1"/>
  <c r="G38" i="68"/>
  <c r="E35" i="62" s="1"/>
  <c r="E36" i="62" s="1"/>
  <c r="F36" i="62" s="1"/>
  <c r="G68" i="67"/>
  <c r="E28" i="62" s="1"/>
  <c r="G40" i="67"/>
  <c r="E25" i="62" s="1"/>
  <c r="G50" i="67"/>
  <c r="E26" i="62" s="1"/>
  <c r="G26" i="67"/>
  <c r="E24" i="62" s="1"/>
  <c r="G18" i="72"/>
  <c r="E17" i="62" s="1"/>
  <c r="G28" i="72"/>
  <c r="E18" i="62" s="1"/>
  <c r="G38" i="72"/>
  <c r="E19" i="62" s="1"/>
  <c r="G34" i="71"/>
  <c r="E15" i="62" s="1"/>
  <c r="F15" i="62" s="1"/>
  <c r="G22" i="71"/>
  <c r="G34" i="70"/>
  <c r="E11" i="62" s="1"/>
  <c r="F11" i="62" s="1"/>
  <c r="G54" i="70"/>
  <c r="E12" i="62" s="1"/>
  <c r="F12" i="62" s="1"/>
  <c r="F22" i="62"/>
  <c r="F14" i="1"/>
  <c r="E35" i="1"/>
  <c r="F41" i="62"/>
  <c r="F22" i="1"/>
  <c r="E27" i="62"/>
  <c r="E23" i="62"/>
  <c r="E29" i="62"/>
  <c r="F78" i="67" l="1"/>
  <c r="G78" i="67" s="1"/>
  <c r="G80" i="67" s="1"/>
  <c r="E30" i="62" s="1"/>
  <c r="E31" i="62" s="1"/>
  <c r="E20" i="62"/>
  <c r="F20" i="62" s="1"/>
  <c r="E13" i="62"/>
  <c r="E14" i="62"/>
  <c r="F14" i="62" s="1"/>
  <c r="E17" i="1"/>
  <c r="F17" i="1" s="1"/>
  <c r="E13" i="1" l="1"/>
  <c r="F13" i="1" s="1"/>
  <c r="E11" i="1"/>
  <c r="F11" i="1" s="1"/>
  <c r="F13" i="62"/>
  <c r="E16" i="62"/>
  <c r="E12" i="1" s="1"/>
  <c r="F12" i="1" s="1"/>
  <c r="F31" i="62"/>
  <c r="E15" i="1"/>
  <c r="F35" i="62"/>
  <c r="E32" i="62" l="1"/>
  <c r="F32" i="62" s="1"/>
  <c r="E16" i="1"/>
  <c r="F16" i="1" s="1"/>
  <c r="F16" i="62"/>
  <c r="F15" i="1"/>
  <c r="F49" i="62"/>
  <c r="E37" i="62" l="1"/>
  <c r="F37" i="62" s="1"/>
  <c r="I35" i="62"/>
  <c r="F27" i="62"/>
  <c r="F19" i="62"/>
  <c r="E38" i="62" l="1"/>
  <c r="F38" i="62" s="1"/>
  <c r="F23" i="62"/>
  <c r="F24" i="62"/>
  <c r="F28" i="62"/>
  <c r="F25" i="62"/>
  <c r="F26" i="62"/>
  <c r="E34" i="1" l="1"/>
  <c r="E40" i="1" s="1"/>
  <c r="E41" i="1" l="1"/>
  <c r="I20" i="1"/>
  <c r="I30" i="1"/>
  <c r="I13" i="1"/>
  <c r="I14" i="1"/>
  <c r="I15" i="1"/>
  <c r="I11" i="1"/>
  <c r="I12" i="1"/>
  <c r="H16" i="1"/>
  <c r="I16" i="1" s="1"/>
  <c r="H17" i="1" l="1"/>
  <c r="I17" i="1" s="1"/>
  <c r="F18" i="62" l="1"/>
  <c r="H18" i="1"/>
  <c r="I18" i="1" s="1"/>
  <c r="F29" i="62" l="1"/>
  <c r="F21" i="62" l="1"/>
  <c r="F30" i="62" l="1"/>
  <c r="H19" i="1" l="1"/>
  <c r="I19" i="1" s="1"/>
  <c r="H21" i="1" l="1"/>
  <c r="H23" i="1" s="1"/>
  <c r="I23" i="1" s="1"/>
  <c r="H24" i="1" l="1"/>
  <c r="I21" i="1"/>
  <c r="H25" i="1"/>
  <c r="I25" i="1" s="1"/>
  <c r="H26" i="1" l="1"/>
  <c r="I26" i="1" s="1"/>
  <c r="I24" i="1"/>
  <c r="H27" i="1"/>
  <c r="H28" i="1" l="1"/>
  <c r="I28" i="1" s="1"/>
  <c r="I27" i="1"/>
  <c r="H29" i="1" l="1"/>
  <c r="I29" i="1" s="1"/>
  <c r="H31" i="1" l="1"/>
  <c r="I31" i="1" l="1"/>
  <c r="F30" i="1" l="1"/>
  <c r="F17" i="62" l="1"/>
  <c r="E18" i="1" l="1"/>
  <c r="E19" i="1" s="1"/>
  <c r="F19" i="1" s="1"/>
  <c r="F18" i="1" l="1"/>
  <c r="F34" i="62"/>
  <c r="F33" i="62"/>
  <c r="E39" i="62"/>
  <c r="E20" i="1" s="1"/>
  <c r="F20" i="1" l="1"/>
  <c r="E21" i="1"/>
  <c r="F39" i="62"/>
  <c r="E40" i="62"/>
  <c r="I39" i="62"/>
  <c r="E42" i="62" l="1"/>
  <c r="F40" i="62"/>
  <c r="E33" i="1"/>
  <c r="E23" i="1"/>
  <c r="F21" i="1"/>
  <c r="E46" i="62" l="1"/>
  <c r="F42" i="62"/>
  <c r="I44" i="62"/>
  <c r="E27" i="1"/>
  <c r="F23" i="1"/>
  <c r="E39" i="1"/>
  <c r="E43" i="1" s="1"/>
  <c r="E38" i="1"/>
  <c r="E42" i="1" s="1"/>
  <c r="E36" i="1"/>
  <c r="E28" i="1" l="1"/>
  <c r="F28" i="1" s="1"/>
  <c r="F27" i="1"/>
  <c r="E47" i="62"/>
  <c r="F47" i="62" s="1"/>
  <c r="F46" i="62"/>
  <c r="E48" i="62" l="1"/>
  <c r="E50" i="62" s="1"/>
  <c r="F50" i="62" s="1"/>
  <c r="E29" i="1"/>
  <c r="F29" i="1" s="1"/>
  <c r="F48" i="62" l="1"/>
  <c r="E31" i="1"/>
  <c r="F31" i="1" s="1"/>
  <c r="H45" i="1" l="1"/>
  <c r="I45" i="1" s="1"/>
</calcChain>
</file>

<file path=xl/sharedStrings.xml><?xml version="1.0" encoding="utf-8"?>
<sst xmlns="http://schemas.openxmlformats.org/spreadsheetml/2006/main" count="367" uniqueCount="164">
  <si>
    <t>G-128 Alterations</t>
  </si>
  <si>
    <t>Concept Cost Plan</t>
  </si>
  <si>
    <t>2.0 SUMMARY</t>
  </si>
  <si>
    <t>2.0.1 Elemental Cost Plan Summary - Level 1</t>
  </si>
  <si>
    <t>Previously</t>
  </si>
  <si>
    <t>GIFA</t>
  </si>
  <si>
    <t>m2</t>
  </si>
  <si>
    <t xml:space="preserve">Ref </t>
  </si>
  <si>
    <t>Element</t>
  </si>
  <si>
    <t>Total £</t>
  </si>
  <si>
    <t>£/m2</t>
  </si>
  <si>
    <t>Comments</t>
  </si>
  <si>
    <t>Facilitating Works</t>
  </si>
  <si>
    <t>Superstructure</t>
  </si>
  <si>
    <t>Finishes</t>
  </si>
  <si>
    <t>Fittings, Furnishings and Equipment</t>
  </si>
  <si>
    <t>Services</t>
  </si>
  <si>
    <t>Facilitating and Building Works</t>
  </si>
  <si>
    <t>Preliminaries (incl. Contractor's design)</t>
  </si>
  <si>
    <t>Overheads and Profit</t>
  </si>
  <si>
    <t>% adjustment</t>
  </si>
  <si>
    <t>Total Building Works Estimate</t>
  </si>
  <si>
    <t>Professional Services</t>
  </si>
  <si>
    <t>SUB-TOTAL</t>
  </si>
  <si>
    <t>Equipment (supplied by the Client)</t>
  </si>
  <si>
    <t>Design Development Risk (Refer to Risk Register)</t>
  </si>
  <si>
    <t>Construction Risk</t>
  </si>
  <si>
    <t>incl above</t>
  </si>
  <si>
    <t>Risk Allowance Estimate</t>
  </si>
  <si>
    <t>COST LIMIT (excluding inflation)</t>
  </si>
  <si>
    <t>Inflation</t>
  </si>
  <si>
    <t>COST LIMIT (including inflation)</t>
  </si>
  <si>
    <t>VAT</t>
  </si>
  <si>
    <t>Excluded</t>
  </si>
  <si>
    <t>Total</t>
  </si>
  <si>
    <t>Construction</t>
  </si>
  <si>
    <t>Equipment</t>
  </si>
  <si>
    <t>Risk</t>
  </si>
  <si>
    <t>Construction Estimate Accuracy</t>
  </si>
  <si>
    <t>Equipment Estimate Accuracy</t>
  </si>
  <si>
    <t>Estimate Accuracy</t>
  </si>
  <si>
    <t>Upper Limit</t>
  </si>
  <si>
    <t>Lower Limit</t>
  </si>
  <si>
    <t>Lab</t>
  </si>
  <si>
    <t>Write up Up</t>
  </si>
  <si>
    <t>2.0.2 Elemental Cost Plan Summary - Level 2</t>
  </si>
  <si>
    <t>Strip Out, Alterations and Demolition (partitions and the like)</t>
  </si>
  <si>
    <t>Strip Out (services)</t>
  </si>
  <si>
    <t>Internal Walls and Partitions</t>
  </si>
  <si>
    <t>Internal doors</t>
  </si>
  <si>
    <t>Wall Finishes</t>
  </si>
  <si>
    <t>Floor Finishes</t>
  </si>
  <si>
    <t>Ceiling Finishes</t>
  </si>
  <si>
    <t>General fittings, furnishings and equipment</t>
  </si>
  <si>
    <t>Disposal installations</t>
  </si>
  <si>
    <t>Water installations</t>
  </si>
  <si>
    <t>Heating, Ventilation and Air Conditioning</t>
  </si>
  <si>
    <t>Electrical installations</t>
  </si>
  <si>
    <t>Fire and lightning protection</t>
  </si>
  <si>
    <t>Communication, security and control systems</t>
  </si>
  <si>
    <t>Special installations</t>
  </si>
  <si>
    <t>Builder's Work in Connection with Services</t>
  </si>
  <si>
    <t>Temporary Works</t>
  </si>
  <si>
    <t>Site Welfare and Accommodation</t>
  </si>
  <si>
    <t>Design and Construction Management</t>
  </si>
  <si>
    <t>Equipment (supplied and installed by the Client)</t>
  </si>
  <si>
    <t>Design Development Risk</t>
  </si>
  <si>
    <t>2.0.2.0 FACILITATING WORKS</t>
  </si>
  <si>
    <t>Item</t>
  </si>
  <si>
    <t>Description</t>
  </si>
  <si>
    <t>Qty</t>
  </si>
  <si>
    <t>Unit</t>
  </si>
  <si>
    <t>Rate</t>
  </si>
  <si>
    <t>Disconnect and remove antistatic plate adjacent to G128 entrance and set aside for possible re-use by Landlord</t>
  </si>
  <si>
    <t>item</t>
  </si>
  <si>
    <t xml:space="preserve">General clearance of furniture and laboratory equipment </t>
  </si>
  <si>
    <t>Remove floor coverings, skirtings etc and dispose</t>
  </si>
  <si>
    <t>Remove suspended ceiling and dispose</t>
  </si>
  <si>
    <t>Carefully remove existing door between G128 and G128D and set aside for re-use if required</t>
  </si>
  <si>
    <t>Carefully take down and remove existing blockwork wall between G128 and G128D and dispose</t>
  </si>
  <si>
    <t>Form openings through reinforced concrete wall for pass through hatch</t>
  </si>
  <si>
    <t>nr</t>
  </si>
  <si>
    <t>Form openings through reinforced concrete wall for doorway</t>
  </si>
  <si>
    <t>Carefully remove existing doors between G128B-G128C and G128B-G128A,  and set aside in store for re-use by Landlord if required</t>
  </si>
  <si>
    <t>Take out glazed screen and set aside for reuse by Landlord - Proposed doorway to write up area</t>
  </si>
  <si>
    <t>To Elemental Cost Plan Summary - Level 2</t>
  </si>
  <si>
    <t>Isolate and remove gas pipework / services</t>
  </si>
  <si>
    <t>Disconnect and remove ventilation ductwork</t>
  </si>
  <si>
    <t>Disconnect and remove electrical installation including light fittings and containment where required</t>
  </si>
  <si>
    <t>Isolate from main FA panel, disconnect and remove smoke detectors</t>
  </si>
  <si>
    <t>Isolate, disconnect and remove Crowcon system</t>
  </si>
  <si>
    <t>Isolate, disconnect and remove sink and cupboard from Room 2 and store for re-use / possible relocation to other side of wall later</t>
  </si>
  <si>
    <t>Isolate, disconnect and remove flow and return pipework, cap off above ceiling level</t>
  </si>
  <si>
    <t>Isolate, disconnect and remove services from store cupboards</t>
  </si>
  <si>
    <t>2.0.2.2 SUPERSTRUCTURE</t>
  </si>
  <si>
    <t>Wall lining; double skin tape and joint ready for decoration</t>
  </si>
  <si>
    <t>Infill opening between Rm2 and Rm3 where door removed</t>
  </si>
  <si>
    <t>Box in hydrogen pipework in Rm3 (opposite door D3 - Changing room door); extra over item above for wall lining</t>
  </si>
  <si>
    <t xml:space="preserve">New partitions; 70mm stud, 2 layers 12.5mm soundblock each side, 25mm APR jointed ready for decoration. </t>
  </si>
  <si>
    <t>Internal Doors</t>
  </si>
  <si>
    <t>Doorsets; single leaf; semi flush hygenic doors</t>
  </si>
  <si>
    <t>Doorsets; leaf and half; semi flush hygenic doors</t>
  </si>
  <si>
    <t>Doorsets; single leaf; timber to write up space</t>
  </si>
  <si>
    <t>Allow for refurbishing existing doors</t>
  </si>
  <si>
    <t>2.0.2.3 FINISHES</t>
  </si>
  <si>
    <t>Decorate walls to lab</t>
  </si>
  <si>
    <t>Decorate walls to write up area</t>
  </si>
  <si>
    <t>New sheet vinyl floor to lab</t>
  </si>
  <si>
    <t>Allow for coved skirting</t>
  </si>
  <si>
    <t>m</t>
  </si>
  <si>
    <t>Allow for new carpet in proposed write up area</t>
  </si>
  <si>
    <t>New metal suspended ceiling to lab</t>
  </si>
  <si>
    <t>Allow for perimeter detail (tbc)</t>
  </si>
  <si>
    <t>Assumed ceiling to write up area retained and no works required</t>
  </si>
  <si>
    <t>2.0.2.4 FITTINGS, FURNISHINGS AND EQUIPMENT</t>
  </si>
  <si>
    <t>Furniture</t>
  </si>
  <si>
    <t>General allowance for furniture including lockers; step over bench; mobile benches &amp; BIBO bins</t>
  </si>
  <si>
    <t>Allow for furniture for write up space</t>
  </si>
  <si>
    <t>Isolators; provisional allowance</t>
  </si>
  <si>
    <t>Fume Hoods; assumed existing Fume Hoods are serviceable; provisional allowance made for servicing and repairs if required</t>
  </si>
  <si>
    <t>Allow for SF6 Testing</t>
  </si>
  <si>
    <t>2.0.2.5 SERVICES</t>
  </si>
  <si>
    <t>Allowance for drainage connections (sinks &amp; shower)</t>
  </si>
  <si>
    <t>Allowance for H&amp;CWS installation (sink and mist shower)</t>
  </si>
  <si>
    <t>Take from store and reinstall sink and under cupboard unit</t>
  </si>
  <si>
    <t>Provisional allowance for mist shower</t>
  </si>
  <si>
    <t>Allow for AHU maintenance  / bring the system back into use</t>
  </si>
  <si>
    <t>Allow for complete ductwork installation to laboratory, including supply air diffusers and extract grilles</t>
  </si>
  <si>
    <t>Allow for HEPA filters to extract ductwork (Bag in/bag out)</t>
  </si>
  <si>
    <t>BMS upgrade; provisional allowance for disconnecting existing BMS controls, provision of new control panel, interfaces with system and commissioning</t>
  </si>
  <si>
    <t>Allow for balancing of system</t>
  </si>
  <si>
    <t>Small power installation to lab</t>
  </si>
  <si>
    <t>Lighting installation to lab</t>
  </si>
  <si>
    <t>Allow for equipment connections</t>
  </si>
  <si>
    <t>Allow for installation of sprinkler system to lab</t>
  </si>
  <si>
    <t>Access Control to lab entrance door and write up space access</t>
  </si>
  <si>
    <t>Structured cabling installation to lab and write up areas</t>
  </si>
  <si>
    <t>CCTV to lab and write up areas</t>
  </si>
  <si>
    <t>Fire alarm system to lab</t>
  </si>
  <si>
    <t>Laboratory gas pipework installation</t>
  </si>
  <si>
    <t>Allow for forming holes; fire stopping &amp; access hatches</t>
  </si>
  <si>
    <t>2.0.2.9 CONTRACTOR'S PRELIMINARIES AND STAFF</t>
  </si>
  <si>
    <t>Allow for temporary protection to retained equipment and common areas for the duration of the works</t>
  </si>
  <si>
    <t>Allow for temporary lighting</t>
  </si>
  <si>
    <t>Welfare and accommodation provided during the construction phase</t>
  </si>
  <si>
    <t>wks</t>
  </si>
  <si>
    <t>Surveys</t>
  </si>
  <si>
    <t>Concept and Co-Ordinated Design [RIBA 2/3] - Contractor's Design including PM and Commercial input</t>
  </si>
  <si>
    <t>Detailed Design [RIBA 4] - Contractor's Design including PM and Commercial input</t>
  </si>
  <si>
    <t>Construction Stage Resourcing [RIBA 5]</t>
  </si>
  <si>
    <t>People and Expenses</t>
  </si>
  <si>
    <t>2.0.2.11 PROFESSIONAL SERVICES</t>
  </si>
  <si>
    <t>Project Management</t>
  </si>
  <si>
    <t>Pre Contract (av 1 day per week)</t>
  </si>
  <si>
    <t>Post Contract (av 1.5 days per week)</t>
  </si>
  <si>
    <t>Defects Period</t>
  </si>
  <si>
    <t>Days</t>
  </si>
  <si>
    <t>Design Support</t>
  </si>
  <si>
    <t>Pre Contract</t>
  </si>
  <si>
    <t>Commercial Support &amp; Contract Administration</t>
  </si>
  <si>
    <t>Post Contract</t>
  </si>
  <si>
    <t>Contract close &amp; Final Certificate</t>
  </si>
  <si>
    <t>2.0.2.12 EQUIPMENT (SUPPLIED AND INSTALLED BY THE CLIENT)</t>
  </si>
  <si>
    <t>Equipment; refer to Equipment list "Equipment List Costs for scoping 5 Aug"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</si>
</sst>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_-;\-* #,##0_-;_-* &quot;-&quot;??_-;_-@_-"/>
    <numFmt numFmtId="168" formatCode="0.0%"/>
    <numFmt numFmtId="169" formatCode="0.0"/>
    <numFmt numFmtId="170" formatCode="\+0%;\-0%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MS Sans Serif"/>
    </font>
    <font>
      <sz val="11"/>
      <color indexed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sz val="9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name val="Calibri Light"/>
      <family val="2"/>
      <scheme val="major"/>
    </font>
    <font>
      <sz val="12"/>
      <name val="Arial"/>
      <family val="2"/>
    </font>
    <font>
      <sz val="8"/>
      <color theme="5"/>
      <name val="Aptos Narrow"/>
      <family val="2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26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8" fillId="0" borderId="0"/>
    <xf numFmtId="0" fontId="29" fillId="0" borderId="0"/>
    <xf numFmtId="9" fontId="3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31" fillId="0" borderId="0"/>
    <xf numFmtId="0" fontId="18" fillId="0" borderId="0"/>
    <xf numFmtId="166" fontId="18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3" applyFont="1"/>
    <xf numFmtId="0" fontId="2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6" fillId="0" borderId="0" xfId="3" applyFont="1" applyAlignment="1">
      <alignment vertical="center"/>
    </xf>
    <xf numFmtId="0" fontId="7" fillId="0" borderId="0" xfId="3" applyFont="1" applyAlignment="1">
      <alignment horizontal="centerContinuous"/>
    </xf>
    <xf numFmtId="0" fontId="7" fillId="0" borderId="0" xfId="3" applyFont="1" applyAlignment="1">
      <alignment horizontal="center"/>
    </xf>
    <xf numFmtId="0" fontId="8" fillId="0" borderId="0" xfId="3" applyFont="1"/>
    <xf numFmtId="0" fontId="9" fillId="0" borderId="0" xfId="3" applyFont="1" applyAlignment="1">
      <alignment horizontal="left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4" fillId="0" borderId="0" xfId="0" quotePrefix="1" applyFont="1"/>
    <xf numFmtId="167" fontId="12" fillId="0" borderId="0" xfId="0" applyNumberFormat="1" applyFont="1"/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7" fillId="0" borderId="0" xfId="0" applyFont="1"/>
    <xf numFmtId="0" fontId="16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167" fontId="20" fillId="2" borderId="1" xfId="1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 wrapText="1"/>
    </xf>
    <xf numFmtId="167" fontId="21" fillId="3" borderId="1" xfId="1" applyNumberFormat="1" applyFont="1" applyFill="1" applyBorder="1" applyAlignment="1">
      <alignment vertical="center"/>
    </xf>
    <xf numFmtId="10" fontId="20" fillId="2" borderId="1" xfId="2" applyNumberFormat="1" applyFont="1" applyFill="1" applyBorder="1" applyAlignment="1">
      <alignment wrapText="1"/>
    </xf>
    <xf numFmtId="10" fontId="22" fillId="2" borderId="1" xfId="2" applyNumberFormat="1" applyFont="1" applyFill="1" applyBorder="1" applyAlignment="1">
      <alignment horizontal="right" wrapText="1"/>
    </xf>
    <xf numFmtId="167" fontId="0" fillId="0" borderId="0" xfId="0" applyNumberFormat="1"/>
    <xf numFmtId="0" fontId="20" fillId="0" borderId="1" xfId="0" applyFont="1" applyBorder="1" applyAlignment="1">
      <alignment vertical="center" wrapText="1"/>
    </xf>
    <xf numFmtId="0" fontId="23" fillId="0" borderId="0" xfId="3" applyFont="1" applyAlignment="1">
      <alignment horizontal="left" vertical="center"/>
    </xf>
    <xf numFmtId="0" fontId="24" fillId="0" borderId="0" xfId="3" applyFont="1"/>
    <xf numFmtId="0" fontId="17" fillId="0" borderId="0" xfId="3" applyFont="1" applyAlignment="1">
      <alignment horizontal="centerContinuous"/>
    </xf>
    <xf numFmtId="0" fontId="17" fillId="0" borderId="0" xfId="3" applyFont="1"/>
    <xf numFmtId="0" fontId="25" fillId="0" borderId="0" xfId="0" applyFont="1" applyAlignment="1">
      <alignment horizontal="center"/>
    </xf>
    <xf numFmtId="0" fontId="25" fillId="0" borderId="0" xfId="0" applyFont="1"/>
    <xf numFmtId="0" fontId="20" fillId="0" borderId="0" xfId="0" applyFont="1" applyAlignment="1">
      <alignment horizontal="right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" fillId="0" borderId="0" xfId="3" applyFont="1" applyAlignment="1">
      <alignment horizontal="left" vertical="center" wrapText="1"/>
    </xf>
    <xf numFmtId="0" fontId="6" fillId="0" borderId="0" xfId="3" applyFont="1" applyAlignment="1">
      <alignment vertical="center" wrapText="1"/>
    </xf>
    <xf numFmtId="0" fontId="10" fillId="0" borderId="0" xfId="3" applyFont="1" applyAlignment="1">
      <alignment horizontal="left" wrapText="1"/>
    </xf>
    <xf numFmtId="0" fontId="2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7" fillId="0" borderId="0" xfId="3" applyFont="1" applyAlignment="1">
      <alignment horizontal="left"/>
    </xf>
    <xf numFmtId="167" fontId="21" fillId="2" borderId="1" xfId="1" applyNumberFormat="1" applyFont="1" applyFill="1" applyBorder="1" applyAlignment="1">
      <alignment vertical="center"/>
    </xf>
    <xf numFmtId="164" fontId="20" fillId="0" borderId="1" xfId="1" applyNumberFormat="1" applyFont="1" applyFill="1" applyBorder="1" applyAlignment="1">
      <alignment vertical="center" wrapText="1"/>
    </xf>
    <xf numFmtId="164" fontId="20" fillId="2" borderId="1" xfId="1" applyNumberFormat="1" applyFont="1" applyFill="1" applyBorder="1" applyAlignment="1">
      <alignment wrapText="1"/>
    </xf>
    <xf numFmtId="164" fontId="20" fillId="3" borderId="1" xfId="1" applyNumberFormat="1" applyFont="1" applyFill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67" fontId="21" fillId="0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167" fontId="21" fillId="0" borderId="3" xfId="1" applyNumberFormat="1" applyFont="1" applyFill="1" applyBorder="1" applyAlignment="1">
      <alignment vertical="center"/>
    </xf>
    <xf numFmtId="168" fontId="20" fillId="2" borderId="0" xfId="2" applyNumberFormat="1" applyFont="1" applyFill="1" applyBorder="1" applyAlignment="1">
      <alignment vertical="center"/>
    </xf>
    <xf numFmtId="0" fontId="11" fillId="0" borderId="4" xfId="3" applyFont="1" applyBorder="1"/>
    <xf numFmtId="167" fontId="20" fillId="2" borderId="1" xfId="1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167" fontId="20" fillId="0" borderId="0" xfId="1" applyNumberFormat="1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167" fontId="20" fillId="0" borderId="1" xfId="1" applyNumberFormat="1" applyFont="1" applyFill="1" applyBorder="1" applyAlignment="1">
      <alignment vertical="center"/>
    </xf>
    <xf numFmtId="164" fontId="0" fillId="0" borderId="0" xfId="0" applyNumberFormat="1"/>
    <xf numFmtId="0" fontId="30" fillId="0" borderId="1" xfId="0" applyFont="1" applyBorder="1" applyAlignment="1">
      <alignment vertical="center" wrapText="1"/>
    </xf>
    <xf numFmtId="0" fontId="32" fillId="0" borderId="1" xfId="16" applyFont="1" applyBorder="1" applyAlignment="1">
      <alignment horizontal="left" vertical="center" wrapText="1" indent="2"/>
    </xf>
    <xf numFmtId="0" fontId="32" fillId="0" borderId="1" xfId="17" applyFont="1" applyBorder="1" applyAlignment="1">
      <alignment horizontal="center" vertical="center"/>
    </xf>
    <xf numFmtId="167" fontId="32" fillId="0" borderId="1" xfId="18" applyNumberFormat="1" applyFont="1" applyFill="1" applyBorder="1" applyAlignment="1">
      <alignment horizontal="center" vertical="center"/>
    </xf>
    <xf numFmtId="167" fontId="32" fillId="0" borderId="1" xfId="18" applyNumberFormat="1" applyFont="1" applyFill="1" applyBorder="1" applyAlignment="1">
      <alignment vertical="center"/>
    </xf>
    <xf numFmtId="9" fontId="32" fillId="0" borderId="1" xfId="2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wrapText="1"/>
    </xf>
    <xf numFmtId="0" fontId="20" fillId="3" borderId="5" xfId="0" applyFont="1" applyFill="1" applyBorder="1" applyAlignment="1">
      <alignment vertical="center" wrapText="1"/>
    </xf>
    <xf numFmtId="0" fontId="20" fillId="3" borderId="8" xfId="0" applyFont="1" applyFill="1" applyBorder="1" applyAlignment="1">
      <alignment vertical="center" wrapText="1"/>
    </xf>
    <xf numFmtId="164" fontId="20" fillId="3" borderId="6" xfId="1" applyNumberFormat="1" applyFont="1" applyFill="1" applyBorder="1" applyAlignment="1">
      <alignment vertical="center" wrapText="1"/>
    </xf>
    <xf numFmtId="0" fontId="20" fillId="2" borderId="5" xfId="0" applyFont="1" applyFill="1" applyBorder="1" applyAlignment="1">
      <alignment horizontal="right" wrapText="1"/>
    </xf>
    <xf numFmtId="164" fontId="20" fillId="2" borderId="6" xfId="1" applyNumberFormat="1" applyFont="1" applyFill="1" applyBorder="1" applyAlignment="1">
      <alignment horizontal="right"/>
    </xf>
    <xf numFmtId="0" fontId="21" fillId="0" borderId="1" xfId="0" quotePrefix="1" applyFont="1" applyBorder="1" applyAlignment="1">
      <alignment horizontal="center" vertical="center"/>
    </xf>
    <xf numFmtId="0" fontId="33" fillId="0" borderId="0" xfId="3" applyFont="1"/>
    <xf numFmtId="0" fontId="34" fillId="0" borderId="0" xfId="0" applyFont="1"/>
    <xf numFmtId="164" fontId="34" fillId="0" borderId="0" xfId="0" applyNumberFormat="1" applyFont="1"/>
    <xf numFmtId="0" fontId="35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9" fontId="20" fillId="0" borderId="1" xfId="0" applyNumberFormat="1" applyFont="1" applyBorder="1" applyAlignment="1">
      <alignment vertical="center" wrapText="1"/>
    </xf>
    <xf numFmtId="167" fontId="34" fillId="0" borderId="0" xfId="0" applyNumberFormat="1" applyFont="1"/>
    <xf numFmtId="168" fontId="34" fillId="0" borderId="0" xfId="2" applyNumberFormat="1" applyFont="1"/>
    <xf numFmtId="0" fontId="2" fillId="0" borderId="0" xfId="3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20" fillId="0" borderId="1" xfId="1" applyNumberFormat="1" applyFont="1" applyFill="1" applyBorder="1" applyAlignment="1">
      <alignment horizontal="right" vertical="center" wrapText="1"/>
    </xf>
    <xf numFmtId="14" fontId="33" fillId="0" borderId="0" xfId="3" applyNumberFormat="1" applyFont="1"/>
    <xf numFmtId="169" fontId="33" fillId="0" borderId="0" xfId="3" applyNumberFormat="1" applyFont="1"/>
    <xf numFmtId="167" fontId="20" fillId="2" borderId="2" xfId="1" applyNumberFormat="1" applyFont="1" applyFill="1" applyBorder="1" applyAlignment="1">
      <alignment vertical="center"/>
    </xf>
    <xf numFmtId="167" fontId="20" fillId="2" borderId="2" xfId="1" applyNumberFormat="1" applyFont="1" applyFill="1" applyBorder="1" applyAlignment="1">
      <alignment horizontal="right" vertical="center"/>
    </xf>
    <xf numFmtId="0" fontId="36" fillId="0" borderId="0" xfId="0" applyFont="1"/>
    <xf numFmtId="0" fontId="37" fillId="0" borderId="0" xfId="0" applyFont="1" applyAlignment="1">
      <alignment horizontal="center" vertical="center"/>
    </xf>
    <xf numFmtId="167" fontId="38" fillId="0" borderId="0" xfId="1" applyNumberFormat="1" applyFont="1" applyFill="1" applyBorder="1" applyAlignment="1">
      <alignment vertical="center"/>
    </xf>
    <xf numFmtId="0" fontId="38" fillId="0" borderId="0" xfId="0" applyFont="1" applyAlignment="1">
      <alignment vertical="center" wrapText="1"/>
    </xf>
    <xf numFmtId="0" fontId="39" fillId="0" borderId="0" xfId="0" applyFont="1"/>
    <xf numFmtId="0" fontId="37" fillId="0" borderId="0" xfId="0" applyFont="1" applyAlignment="1">
      <alignment horizontal="right" vertical="center"/>
    </xf>
    <xf numFmtId="9" fontId="37" fillId="0" borderId="0" xfId="2" quotePrefix="1" applyFont="1" applyFill="1" applyBorder="1" applyAlignment="1">
      <alignment horizontal="right" vertical="center"/>
    </xf>
    <xf numFmtId="167" fontId="37" fillId="0" borderId="0" xfId="0" applyNumberFormat="1" applyFont="1"/>
    <xf numFmtId="0" fontId="37" fillId="0" borderId="0" xfId="0" applyFont="1" applyAlignment="1">
      <alignment vertical="center" wrapText="1"/>
    </xf>
    <xf numFmtId="167" fontId="37" fillId="0" borderId="0" xfId="1" applyNumberFormat="1" applyFont="1" applyFill="1" applyBorder="1" applyAlignment="1">
      <alignment vertical="center"/>
    </xf>
    <xf numFmtId="167" fontId="37" fillId="0" borderId="7" xfId="1" applyNumberFormat="1" applyFont="1" applyFill="1" applyBorder="1" applyAlignment="1">
      <alignment vertical="center"/>
    </xf>
    <xf numFmtId="170" fontId="37" fillId="0" borderId="0" xfId="2" quotePrefix="1" applyNumberFormat="1" applyFont="1" applyFill="1" applyBorder="1" applyAlignment="1">
      <alignment vertical="center"/>
    </xf>
    <xf numFmtId="0" fontId="20" fillId="0" borderId="5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164" fontId="20" fillId="0" borderId="6" xfId="1" applyNumberFormat="1" applyFont="1" applyFill="1" applyBorder="1" applyAlignment="1">
      <alignment vertical="center" wrapText="1"/>
    </xf>
    <xf numFmtId="9" fontId="32" fillId="0" borderId="8" xfId="2" applyFont="1" applyFill="1" applyBorder="1" applyAlignment="1">
      <alignment horizontal="center" vertical="center"/>
    </xf>
    <xf numFmtId="0" fontId="32" fillId="0" borderId="8" xfId="17" applyFont="1" applyBorder="1" applyAlignment="1">
      <alignment horizontal="center" vertical="center"/>
    </xf>
    <xf numFmtId="167" fontId="32" fillId="0" borderId="6" xfId="18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17" fillId="0" borderId="4" xfId="3" applyFont="1" applyBorder="1"/>
    <xf numFmtId="0" fontId="11" fillId="0" borderId="4" xfId="3" applyFont="1" applyBorder="1" applyAlignment="1">
      <alignment wrapText="1"/>
    </xf>
    <xf numFmtId="0" fontId="21" fillId="0" borderId="4" xfId="0" applyFont="1" applyBorder="1" applyAlignment="1">
      <alignment horizontal="center" vertical="center"/>
    </xf>
  </cellXfs>
  <cellStyles count="19">
    <cellStyle name="Comma 2 2" xfId="18" xr:uid="{596CA2D3-4C37-4157-8873-4367EADEE489}"/>
    <cellStyle name="Comma 3" xfId="15" xr:uid="{2A01CC5E-EC3C-4AC6-B52C-24A934835081}"/>
    <cellStyle name="Currency 2" xfId="4" xr:uid="{B11B34A5-4155-4B78-871F-28F0159986E3}"/>
    <cellStyle name="Normal 11 2" xfId="6" xr:uid="{76CEDF52-FCDC-4B67-8CE9-66F24BF6A0D6}"/>
    <cellStyle name="Normal 2" xfId="10" xr:uid="{432E1818-1ED1-4B34-967A-E2B0BA38DBF9}"/>
    <cellStyle name="Normal 2 2 2" xfId="7" xr:uid="{766463A0-0A88-46EC-B864-069E3C324688}"/>
    <cellStyle name="Normal 3" xfId="11" xr:uid="{94049F45-E12F-4D48-A42D-A9D019D312BD}"/>
    <cellStyle name="Normal 3 2 2" xfId="5" xr:uid="{470B75FC-E276-4CE5-B575-6E7F381F3380}"/>
    <cellStyle name="Normal 32" xfId="3" xr:uid="{EA41483B-5352-4628-A0EB-FBADF9439A57}"/>
    <cellStyle name="Normal 4" xfId="12" xr:uid="{CA188D3E-219C-4928-9878-FE886F5E5E38}"/>
    <cellStyle name="Normal 4 9" xfId="8" xr:uid="{B11E09A0-F66B-4FC2-81C2-8268C3716868}"/>
    <cellStyle name="Normal 5" xfId="13" xr:uid="{18136D03-879E-44B3-AD20-77EE7F2E066D}"/>
    <cellStyle name="Normal_Book1" xfId="17" xr:uid="{D7622AF6-13DB-4CAC-A467-C07EB4892780}"/>
    <cellStyle name="Normal_Phase 1 Estimate Quants_Areas CRN  ground" xfId="16" xr:uid="{19004CCA-0C44-48C3-AB48-B67415A9F70B}"/>
    <cellStyle name="Percent 2" xfId="14" xr:uid="{D00BD5AC-E01E-4FFF-B150-8E89EDA0FBD7}"/>
    <cellStyle name="Percent 2 8" xfId="9" xr:uid="{3F7CAC03-BF3A-411B-A957-5C90C1189C9A}"/>
    <cellStyle name="千位分隔" xfId="1" builtinId="3"/>
    <cellStyle name="常规" xfId="0" builtinId="0"/>
    <cellStyle name="百分比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912639</xdr:colOff>
      <xdr:row>3</xdr:row>
      <xdr:rowOff>18415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40EB1D39-FC20-4A98-9EF3-C0081C4A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80975"/>
          <a:ext cx="1392699" cy="375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145300</xdr:rowOff>
    </xdr:from>
    <xdr:to>
      <xdr:col>2</xdr:col>
      <xdr:colOff>935095</xdr:colOff>
      <xdr:row>2</xdr:row>
      <xdr:rowOff>173319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C990A-2F2D-5E0C-9391-1104526FB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8" y="145300"/>
          <a:ext cx="1403725" cy="380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595326B2-A008-4E58-8AC5-25374AA8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0970"/>
          <a:ext cx="1400319" cy="371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764A262E-55C8-4035-ADFD-72123881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0970"/>
          <a:ext cx="1400319" cy="371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48892E2E-8CFF-488C-BBE6-4248BD76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0970"/>
          <a:ext cx="1400319" cy="371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9D4F7D80-E855-4850-98DE-9027D28C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40970"/>
          <a:ext cx="1440324" cy="35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109CE281-0DD6-4D3A-A980-3A9AD599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40970"/>
          <a:ext cx="1440324" cy="35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3F3AC870-6BC2-49FE-AFB3-F03194C5C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42875"/>
          <a:ext cx="1438419" cy="35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B1DC9528-C71A-4896-9072-73DCAFFF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42875"/>
          <a:ext cx="1438419" cy="35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2</xdr:col>
      <xdr:colOff>933594</xdr:colOff>
      <xdr:row>2</xdr:row>
      <xdr:rowOff>131657</xdr:rowOff>
    </xdr:to>
    <xdr:pic>
      <xdr:nvPicPr>
        <xdr:cNvPr id="2" name="Picture 1" descr="Homepage">
          <a:extLst>
            <a:ext uri="{FF2B5EF4-FFF2-40B4-BE49-F238E27FC236}">
              <a16:creationId xmlns:a16="http://schemas.microsoft.com/office/drawing/2014/main" id="{6717255D-C522-4596-A130-D5D7ADF5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0970"/>
          <a:ext cx="1400319" cy="371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://ttrmtlon02.turntown.com/Documents%20and%20Settings/grangdan/Local%20Settings/Temp/notesFFF692/DOCUME~1/bamptgra/LOCALS~1/Temp/Domino%20Web%20Access/Documents%20and%20Settings/parkemic/My%20Documents/T%20and%20T/MS14018%20-%20HMP%20Ashwell/Calcrisk200.x?B43413C4" TargetMode="External"/><Relationship Id="rId1" Type="http://schemas.openxmlformats.org/officeDocument/2006/relationships/externalLinkPath" Target="file:///\\B43413C4\Calcrisk200.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trmtlon02.turntown.com/Lee/CM/PROJ/TIC/Alex%20Hargreaves/13.08.09/Meeting%20in%20London/New%20Template%20WIP/Example/New%20Template%20WIP/cashflow%20TEST%20Ver%2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crdc03.henryriley.priv\Documents%20and%20Settings\CNJ\Local%20Settings\Temporary%20Internet%20Files\OLK78\StandardvaluationTraditionalc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DSRV01\Data\LEE\QS\PROJ\QS12104\Revised%20Cashflows\cfpr2bmp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hdwdr\_A.PROJECTS%20-ONGOING-\MOZ_LJF-2013-0054-LNG%20project-Jetty-FLUOR\B.%20Tender\06.%20MW%20Working%20Files\10.%20Equipment\MOZ_LJF%20-%20INTERNAL%20Equipment%20List_Rev%20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tage%20E%20-%20Issue%201\SCHS%20-%20Stage%20E%20Budget-201408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lients\Dover%20Harbour%20Board\DWDR\Civil%20Engineering%20Tenders\Received\Graham\Graham%20Pricing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Data"/>
      <sheetName val="Results"/>
      <sheetName val="MoreSims"/>
      <sheetName val="ProbRands"/>
      <sheetName val="ImpactRands"/>
      <sheetName val="Outcomes"/>
      <sheetName val="Checks"/>
      <sheetName val="Combine"/>
      <sheetName val="Current"/>
      <sheetName val="Module1"/>
      <sheetName val="Module2"/>
      <sheetName val="Module3"/>
      <sheetName val="Lookup"/>
      <sheetName val="#REF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1"/>
      <sheetName val="AH Cash Flow"/>
      <sheetName val="FitOutConfCentre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Architect CA letter"/>
      <sheetName val="Contractot Letter CC"/>
      <sheetName val="Contractor letter"/>
      <sheetName val="Valuation statement"/>
      <sheetName val="Retention statement"/>
      <sheetName val="Valuation 7"/>
      <sheetName val="Valuation 8"/>
      <sheetName val="Valuation 9"/>
      <sheetName val="Valuation 10"/>
      <sheetName val="Valuation 11"/>
      <sheetName val="Valuation 12"/>
      <sheetName val="Valuation 13"/>
      <sheetName val="Valuation 14"/>
      <sheetName val="Valuation 15"/>
      <sheetName val="Summary of valuations"/>
      <sheetName val="Valuation build up"/>
      <sheetName val="Macr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f cash"/>
      <sheetName val="accom cash"/>
      <sheetName val="Sports cash"/>
      <sheetName val="train cash"/>
      <sheetName val="site cash "/>
      <sheetName val="Water cash"/>
      <sheetName val="CCTV cash"/>
      <sheetName val="Infrastructure"/>
      <sheetName val="Accommodation"/>
      <sheetName val="training"/>
      <sheetName val="siteworks"/>
      <sheetName val="Cash2"/>
      <sheetName val="Z"/>
      <sheetName val="inf_cash"/>
      <sheetName val="accom_cash"/>
      <sheetName val="Sports_cash"/>
      <sheetName val="train_cash"/>
      <sheetName val="site_cash_"/>
      <sheetName val="Water_cash"/>
      <sheetName val="CCTV_cash"/>
      <sheetName val="Cashflow-with baseline"/>
      <sheetName val="Cashflow-with_baseline"/>
      <sheetName val="Day work"/>
      <sheetName val="GRSummary"/>
      <sheetName val="inf_cash1"/>
      <sheetName val="accom_cash1"/>
      <sheetName val="Sports_cash1"/>
      <sheetName val="train_cash1"/>
      <sheetName val="site_cash_1"/>
      <sheetName val="Water_cash1"/>
      <sheetName val="CCTV_cash1"/>
      <sheetName val="Cashflow-with_baseline1"/>
      <sheetName val="inf_cash5"/>
      <sheetName val="accom_cash5"/>
      <sheetName val="Sports_cash5"/>
      <sheetName val="train_cash5"/>
      <sheetName val="site_cash_5"/>
      <sheetName val="Water_cash5"/>
      <sheetName val="CCTV_cash5"/>
      <sheetName val="Cashflow-with_baseline5"/>
      <sheetName val="inf_cash2"/>
      <sheetName val="accom_cash2"/>
      <sheetName val="Sports_cash2"/>
      <sheetName val="train_cash2"/>
      <sheetName val="site_cash_2"/>
      <sheetName val="Water_cash2"/>
      <sheetName val="CCTV_cash2"/>
      <sheetName val="Cashflow-with_baseline2"/>
      <sheetName val="inf_cash3"/>
      <sheetName val="accom_cash3"/>
      <sheetName val="Sports_cash3"/>
      <sheetName val="train_cash3"/>
      <sheetName val="site_cash_3"/>
      <sheetName val="Water_cash3"/>
      <sheetName val="CCTV_cash3"/>
      <sheetName val="Cashflow-with_baseline3"/>
      <sheetName val="inf_cash4"/>
      <sheetName val="accom_cash4"/>
      <sheetName val="Sports_cash4"/>
      <sheetName val="train_cash4"/>
      <sheetName val="site_cash_4"/>
      <sheetName val="Water_cash4"/>
      <sheetName val="CCTV_cash4"/>
      <sheetName val="Cashflow-with_baseline4"/>
      <sheetName val="Day_work"/>
      <sheetName val="List of OGD's"/>
      <sheetName val="BLK2"/>
      <sheetName val="BLK3"/>
      <sheetName val="E &amp; R"/>
      <sheetName val="radar"/>
      <sheetName val="UG"/>
      <sheetName val="inf_cash6"/>
      <sheetName val="accom_cash6"/>
      <sheetName val="Sports_cash6"/>
      <sheetName val="train_cash6"/>
      <sheetName val="site_cash_6"/>
      <sheetName val="Water_cash6"/>
      <sheetName val="CCTV_cash6"/>
      <sheetName val="Cashflow-with_baseline6"/>
      <sheetName val="Bill.10"/>
      <sheetName val="Testing"/>
      <sheetName val="#REF"/>
      <sheetName val="NPV"/>
      <sheetName val="산근"/>
      <sheetName val="갑지"/>
      <sheetName val="일위대가"/>
      <sheetName val="Cover"/>
      <sheetName val="Contents"/>
      <sheetName val="Exec Summary"/>
      <sheetName val="Obs "/>
      <sheetName val="Obs (r)"/>
      <sheetName val="Cost Summary"/>
      <sheetName val="Cost Summary (2)"/>
      <sheetName val="S08. Preliminaries"/>
      <sheetName val="L4L8L9 Master"/>
      <sheetName val="Rate w(Remarks)"/>
      <sheetName val="Rate ONLY"/>
      <sheetName val="Base"/>
      <sheetName val="Option 1"/>
      <sheetName val="Option 2"/>
      <sheetName val="Option 3"/>
      <sheetName val="Option 4"/>
      <sheetName val="Additional SOR Comparison"/>
      <sheetName val="S10. PC &amp; Provisional Sum"/>
      <sheetName val="Base (2)"/>
      <sheetName val="Opt D (2)"/>
      <sheetName val="L7 DAH-superseded"/>
      <sheetName val="inf_cash7"/>
      <sheetName val="accom_cash7"/>
      <sheetName val="Sports_cash7"/>
      <sheetName val="train_cash7"/>
      <sheetName val="site_cash_7"/>
      <sheetName val="Water_cash7"/>
      <sheetName val="CCTV_cash7"/>
      <sheetName val="Cashflow-with_baseline7"/>
      <sheetName val="Sheet1"/>
      <sheetName val="BILL"/>
      <sheetName val="Rate Analysis"/>
      <sheetName val="girder"/>
      <sheetName val="Rocker"/>
      <sheetName val="Costing"/>
      <sheetName val="Core Data"/>
      <sheetName val="final abstract"/>
      <sheetName val="CASHFLOWS"/>
      <sheetName val="Data"/>
      <sheetName val="inf_cash8"/>
      <sheetName val="accom_cash8"/>
      <sheetName val="Sports_cash8"/>
      <sheetName val="train_cash8"/>
      <sheetName val="site_cash_8"/>
      <sheetName val="Water_cash8"/>
      <sheetName val="CCTV_cash8"/>
      <sheetName val="Cashflow-with_baseline8"/>
      <sheetName val="General"/>
      <sheetName val="MN T.B."/>
      <sheetName val="PriceSummary"/>
      <sheetName val="OPEN TO SKY AREA A WING"/>
      <sheetName val="C WING OPEN TO SKY PUTTY"/>
      <sheetName val="open to sky area a&amp;c wing"/>
      <sheetName val="INVOICE"/>
      <sheetName val="A WING OUT SIDE "/>
      <sheetName val="Terrace "/>
      <sheetName val="C wing out side "/>
      <sheetName val="Extra Work"/>
      <sheetName val="Summary of floor "/>
      <sheetName val="CUMM."/>
      <sheetName val="Cumm"/>
      <sheetName val="TAX INNOVICE"/>
      <sheetName val="FitOutConfCentre"/>
      <sheetName val="inf_cash9"/>
      <sheetName val="accom_cash9"/>
      <sheetName val="Sports_cash9"/>
      <sheetName val="train_cash9"/>
      <sheetName val="site_cash_9"/>
      <sheetName val="Water_cash9"/>
      <sheetName val="CCTV_cash9"/>
      <sheetName val="Cashflow-with_baseline9"/>
      <sheetName val="Day_work1"/>
      <sheetName val="List_of_OGD's"/>
      <sheetName val="E_&amp;_R"/>
      <sheetName val="Core_Data"/>
      <sheetName val="MN_T_B_"/>
      <sheetName val="OPEN_TO_SKY_AREA_A_WING"/>
      <sheetName val="C_WING_OPEN_TO_SKY_PUTTY"/>
      <sheetName val="open_to_sky_area_a&amp;c_wing"/>
      <sheetName val="A_WING_OUT_SIDE_"/>
      <sheetName val="Terrace_"/>
      <sheetName val="C_wing_out_side_"/>
      <sheetName val="Extra_Work"/>
      <sheetName val="Summary_of_floor_"/>
      <sheetName val="CUMM_"/>
      <sheetName val="TAX_INNOVICE"/>
      <sheetName val="final_abstract"/>
      <sheetName val="checkout age"/>
      <sheetName val="busy store"/>
      <sheetName val="Updated group"/>
      <sheetName val="dev prog at week12"/>
      <sheetName val="weeknum"/>
      <sheetName val="1"/>
      <sheetName val="3.0 pre-construction"/>
      <sheetName val="Exec_Summary"/>
      <sheetName val="Obs_"/>
      <sheetName val="Obs_(r)"/>
      <sheetName val="Cost_Summary"/>
      <sheetName val="Cost_Summary_(2)"/>
      <sheetName val="S08__Preliminaries"/>
      <sheetName val="L4L8L9_Master"/>
      <sheetName val="Rate_w(Remarks)"/>
      <sheetName val="Rate_ONLY"/>
      <sheetName val="Option_1"/>
      <sheetName val="Option_2"/>
      <sheetName val="Option_3"/>
      <sheetName val="Option_4"/>
      <sheetName val="Additional_SOR_Comparison"/>
      <sheetName val="S10__PC_&amp;_Provisional_Sum"/>
      <sheetName val="Base_(2)"/>
      <sheetName val="Opt_D_(2)"/>
      <sheetName val="L7_DAH-superseded"/>
      <sheetName val="Bill_10"/>
      <sheetName val="Rate_Analysis"/>
      <sheetName val="3_0_pre-construction"/>
      <sheetName val="Assumptions-Input"/>
      <sheetName val="Coalmine"/>
      <sheetName val="Const. Est. "/>
      <sheetName val="Internet"/>
      <sheetName val="inf_cash10"/>
      <sheetName val="accom_cash10"/>
      <sheetName val="Sports_cash10"/>
      <sheetName val="train_cash10"/>
      <sheetName val="site_cash_10"/>
      <sheetName val="Water_cash10"/>
      <sheetName val="CCTV_cash10"/>
      <sheetName val="Cashflow-with_baseline10"/>
      <sheetName val="Day_work3"/>
      <sheetName val="List_of_OGD's2"/>
      <sheetName val="E_&amp;_R1"/>
      <sheetName val="Bill_101"/>
      <sheetName val="Day_work2"/>
      <sheetName val="List_of_OGD's1"/>
      <sheetName val="Exec_Summary1"/>
      <sheetName val="Obs_1"/>
      <sheetName val="Obs_(r)1"/>
      <sheetName val="Cost_Summary1"/>
      <sheetName val="Cost_Summary_(2)1"/>
      <sheetName val="S08__Preliminaries1"/>
      <sheetName val="L4L8L9_Master1"/>
      <sheetName val="Rate_w(Remarks)1"/>
      <sheetName val="Rate_ONLY1"/>
      <sheetName val="Option_11"/>
      <sheetName val="Option_21"/>
      <sheetName val="Option_31"/>
      <sheetName val="Option_41"/>
      <sheetName val="Additional_SOR_Comparison1"/>
      <sheetName val="S10__PC_&amp;_Provisional_Sum1"/>
      <sheetName val="Base_(2)1"/>
      <sheetName val="Opt_D_(2)1"/>
      <sheetName val="L7_DAH-superseded1"/>
      <sheetName val="Core_Data1"/>
      <sheetName val="MN_T_B_1"/>
      <sheetName val="Rate_Analysis1"/>
      <sheetName val="final_abstract1"/>
      <sheetName val="OPEN_TO_SKY_AREA_A_WING1"/>
      <sheetName val="C_WING_OPEN_TO_SKY_PUTTY1"/>
      <sheetName val="open_to_sky_area_a&amp;c_wing1"/>
      <sheetName val="A_WING_OUT_SIDE_1"/>
      <sheetName val="Terrace_1"/>
      <sheetName val="C_wing_out_side_1"/>
      <sheetName val="Extra_Work1"/>
      <sheetName val="Summary_of_floor_1"/>
      <sheetName val="CUMM_1"/>
      <sheetName val="TAX_INNOVICE1"/>
      <sheetName val="Const__Est__"/>
      <sheetName val="BOQ"/>
      <sheetName val="Data Sheet"/>
      <sheetName val="cfpr2bmpp"/>
      <sheetName val="Sales &amp; Prod"/>
      <sheetName val="Fee Rate Summary"/>
      <sheetName val="Measurements"/>
      <sheetName val="Estimate"/>
      <sheetName val="Partitions"/>
      <sheetName val="concrete"/>
      <sheetName val="beam-reinft-IIInd floor"/>
      <sheetName val="S1BOQ"/>
      <sheetName val="database"/>
      <sheetName val="Set"/>
      <sheetName val="SPT vs PHI"/>
      <sheetName val="hist&amp;proj"/>
      <sheetName val="Summary-Installation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B_SCH_A3"/>
      <sheetName val="SB SCH_A7"/>
      <sheetName val="checkout_age"/>
      <sheetName val="busy_store"/>
      <sheetName val="Updated_group"/>
      <sheetName val="dev_prog_at_week12"/>
      <sheetName val="inf_cash12"/>
      <sheetName val="accom_cash12"/>
      <sheetName val="Sports_cash12"/>
      <sheetName val="train_cash12"/>
      <sheetName val="site_cash_12"/>
      <sheetName val="Water_cash12"/>
      <sheetName val="CCTV_cash12"/>
      <sheetName val="Cashflow-with_baseline12"/>
      <sheetName val="Day_work5"/>
      <sheetName val="List_of_OGD's4"/>
      <sheetName val="E_&amp;_R3"/>
      <sheetName val="Bill_103"/>
      <sheetName val="Exec_Summary3"/>
      <sheetName val="Obs_3"/>
      <sheetName val="Obs_(r)3"/>
      <sheetName val="Cost_Summary3"/>
      <sheetName val="Cost_Summary_(2)3"/>
      <sheetName val="S08__Preliminaries3"/>
      <sheetName val="L4L8L9_Master3"/>
      <sheetName val="Rate_w(Remarks)3"/>
      <sheetName val="Rate_ONLY3"/>
      <sheetName val="Option_13"/>
      <sheetName val="Option_23"/>
      <sheetName val="Option_33"/>
      <sheetName val="Option_43"/>
      <sheetName val="Additional_SOR_Comparison3"/>
      <sheetName val="S10__PC_&amp;_Provisional_Sum3"/>
      <sheetName val="Base_(2)3"/>
      <sheetName val="Opt_D_(2)3"/>
      <sheetName val="L7_DAH-superseded3"/>
      <sheetName val="Core_Data3"/>
      <sheetName val="MN_T_B_3"/>
      <sheetName val="Rate_Analysis3"/>
      <sheetName val="final_abstract3"/>
      <sheetName val="OPEN_TO_SKY_AREA_A_WING3"/>
      <sheetName val="C_WING_OPEN_TO_SKY_PUTTY3"/>
      <sheetName val="open_to_sky_area_a&amp;c_wing3"/>
      <sheetName val="A_WING_OUT_SIDE_3"/>
      <sheetName val="Terrace_3"/>
      <sheetName val="C_wing_out_side_3"/>
      <sheetName val="Extra_Work3"/>
      <sheetName val="Summary_of_floor_3"/>
      <sheetName val="CUMM_3"/>
      <sheetName val="TAX_INNOVICE3"/>
      <sheetName val="checkout_age1"/>
      <sheetName val="busy_store1"/>
      <sheetName val="Updated_group1"/>
      <sheetName val="dev_prog_at_week121"/>
      <sheetName val="Const__Est__1"/>
      <sheetName val="inf_cash11"/>
      <sheetName val="accom_cash11"/>
      <sheetName val="Sports_cash11"/>
      <sheetName val="train_cash11"/>
      <sheetName val="site_cash_11"/>
      <sheetName val="Water_cash11"/>
      <sheetName val="CCTV_cash11"/>
      <sheetName val="Cashflow-with_baseline11"/>
      <sheetName val="Day_work4"/>
      <sheetName val="List_of_OGD's3"/>
      <sheetName val="E_&amp;_R2"/>
      <sheetName val="Bill_102"/>
      <sheetName val="Exec_Summary2"/>
      <sheetName val="Obs_2"/>
      <sheetName val="Obs_(r)2"/>
      <sheetName val="Cost_Summary2"/>
      <sheetName val="Cost_Summary_(2)2"/>
      <sheetName val="S08__Preliminaries2"/>
      <sheetName val="L4L8L9_Master2"/>
      <sheetName val="Rate_w(Remarks)2"/>
      <sheetName val="Rate_ONLY2"/>
      <sheetName val="Option_12"/>
      <sheetName val="Option_22"/>
      <sheetName val="Option_32"/>
      <sheetName val="Option_42"/>
      <sheetName val="Additional_SOR_Comparison2"/>
      <sheetName val="S10__PC_&amp;_Provisional_Sum2"/>
      <sheetName val="Base_(2)2"/>
      <sheetName val="Opt_D_(2)2"/>
      <sheetName val="L7_DAH-superseded2"/>
      <sheetName val="Core_Data2"/>
      <sheetName val="MN_T_B_2"/>
      <sheetName val="Rate_Analysis2"/>
      <sheetName val="final_abstract2"/>
      <sheetName val="OPEN_TO_SKY_AREA_A_WING2"/>
      <sheetName val="C_WING_OPEN_TO_SKY_PUTTY2"/>
      <sheetName val="open_to_sky_area_a&amp;c_wing2"/>
      <sheetName val="A_WING_OUT_SIDE_2"/>
      <sheetName val="Terrace_2"/>
      <sheetName val="C_wing_out_side_2"/>
      <sheetName val="Extra_Work2"/>
      <sheetName val="Summary_of_floor_2"/>
      <sheetName val="CUMM_2"/>
      <sheetName val="TAX_INNOVICE2"/>
      <sheetName val="1. 概述"/>
      <sheetName val="電気設備表"/>
      <sheetName val="P.5 Cost - In Year"/>
      <sheetName val="Masterdata"/>
      <sheetName val="checkout_age2"/>
      <sheetName val="busy_store2"/>
      <sheetName val="Updated_group2"/>
      <sheetName val="dev_prog_at_week122"/>
      <sheetName val="Sales_&amp;_Prod"/>
      <sheetName val="Fee_Rate_Summary"/>
      <sheetName val="beam-reinft-IIInd_floor"/>
      <sheetName val="SPT_vs_PHI"/>
      <sheetName val="ACAD_Finishes"/>
      <sheetName val="Site_Details"/>
      <sheetName val="Site_Area_Statement"/>
      <sheetName val="SB_SCH_A7"/>
      <sheetName val="???? ??? ??"/>
      <sheetName val="2.0 Variations"/>
      <sheetName val="????_???_??"/>
      <sheetName val="2_0_Variations"/>
      <sheetName val="RATES"/>
      <sheetName val="MG"/>
      <sheetName val="PRECAST lightconc-II"/>
      <sheetName val="BHANDUP"/>
      <sheetName val="SC Cost FEB 03"/>
      <sheetName val="Sheet2"/>
      <sheetName val="dyes"/>
      <sheetName val="Sheet3"/>
      <sheetName val="upa"/>
      <sheetName val="Sales_&amp;_Prod1"/>
      <sheetName val="Fee_Rate_Summary1"/>
      <sheetName val="beam-reinft-IIInd_floor1"/>
      <sheetName val="SPT_vs_PHI1"/>
      <sheetName val="ACAD_Finishes1"/>
      <sheetName val="Site_Details1"/>
      <sheetName val="Site_Area_Statement1"/>
      <sheetName val="SB_SCH_A71"/>
      <sheetName val="inf_cash13"/>
      <sheetName val="accom_cash13"/>
      <sheetName val="Sports_cash13"/>
      <sheetName val="train_cash13"/>
      <sheetName val="site_cash_13"/>
      <sheetName val="Water_cash13"/>
      <sheetName val="CCTV_cash13"/>
      <sheetName val="Cashflow-with_baseline13"/>
      <sheetName val="Day_work6"/>
      <sheetName val="List_of_OGD's5"/>
      <sheetName val="E_&amp;_R4"/>
      <sheetName val="Exec_Summary4"/>
      <sheetName val="Obs_4"/>
      <sheetName val="Obs_(r)4"/>
      <sheetName val="Cost_Summary4"/>
      <sheetName val="Cost_Summary_(2)4"/>
      <sheetName val="S08__Preliminaries4"/>
      <sheetName val="L4L8L9_Master4"/>
      <sheetName val="Rate_w(Remarks)4"/>
      <sheetName val="Rate_ONLY4"/>
      <sheetName val="Option_14"/>
      <sheetName val="Option_24"/>
      <sheetName val="Option_34"/>
      <sheetName val="Option_44"/>
      <sheetName val="Additional_SOR_Comparison4"/>
      <sheetName val="S10__PC_&amp;_Provisional_Sum4"/>
      <sheetName val="Base_(2)4"/>
      <sheetName val="Opt_D_(2)4"/>
      <sheetName val="L7_DAH-superseded4"/>
      <sheetName val="Bill_104"/>
      <sheetName val="Core_Data4"/>
      <sheetName val="MN_T_B_4"/>
      <sheetName val="Rate_Analysis4"/>
      <sheetName val="final_abstract4"/>
      <sheetName val="OPEN_TO_SKY_AREA_A_WING4"/>
      <sheetName val="C_WING_OPEN_TO_SKY_PUTTY4"/>
      <sheetName val="open_to_sky_area_a&amp;c_wing4"/>
      <sheetName val="A_WING_OUT_SIDE_4"/>
      <sheetName val="Terrace_4"/>
      <sheetName val="C_wing_out_side_4"/>
      <sheetName val="Extra_Work4"/>
      <sheetName val="Summary_of_floor_4"/>
      <sheetName val="CUMM_4"/>
      <sheetName val="TAX_INNOVICE4"/>
      <sheetName val="Const__Est__2"/>
      <sheetName val="Data_Sheet"/>
      <sheetName val="1__概述"/>
      <sheetName val="inf_cash14"/>
      <sheetName val="accom_cash14"/>
      <sheetName val="Sports_cash14"/>
      <sheetName val="train_cash14"/>
      <sheetName val="site_cash_14"/>
      <sheetName val="Water_cash14"/>
      <sheetName val="CCTV_cash14"/>
      <sheetName val="Cashflow-with_baseline14"/>
      <sheetName val="Day_work7"/>
      <sheetName val="E_&amp;_R5"/>
      <sheetName val="List_of_OGD's6"/>
      <sheetName val="Bill_105"/>
      <sheetName val="Rate_Analysis5"/>
      <sheetName val="Core_Data5"/>
      <sheetName val="final_abstract5"/>
      <sheetName val="Exec_Summary5"/>
      <sheetName val="Obs_5"/>
      <sheetName val="Obs_(r)5"/>
      <sheetName val="Cost_Summary5"/>
      <sheetName val="Cost_Summary_(2)5"/>
      <sheetName val="S08__Preliminaries5"/>
      <sheetName val="L4L8L9_Master5"/>
      <sheetName val="Rate_w(Remarks)5"/>
      <sheetName val="Rate_ONLY5"/>
      <sheetName val="Option_15"/>
      <sheetName val="Option_25"/>
      <sheetName val="Option_35"/>
      <sheetName val="Option_45"/>
      <sheetName val="Additional_SOR_Comparison5"/>
      <sheetName val="S10__PC_&amp;_Provisional_Sum5"/>
      <sheetName val="Base_(2)5"/>
      <sheetName val="Opt_D_(2)5"/>
      <sheetName val="L7_DAH-superseded5"/>
      <sheetName val="MN_T_B_5"/>
      <sheetName val="checkout_age3"/>
      <sheetName val="busy_store3"/>
      <sheetName val="Updated_group3"/>
      <sheetName val="dev_prog_at_week123"/>
      <sheetName val="Data_Sheet1"/>
      <sheetName val="OPEN_TO_SKY_AREA_A_WING5"/>
      <sheetName val="C_WING_OPEN_TO_SKY_PUTTY5"/>
      <sheetName val="open_to_sky_area_a&amp;c_wing5"/>
      <sheetName val="A_WING_OUT_SIDE_5"/>
      <sheetName val="Terrace_5"/>
      <sheetName val="C_wing_out_side_5"/>
      <sheetName val="Extra_Work5"/>
      <sheetName val="Summary_of_floor_5"/>
      <sheetName val="CUMM_5"/>
      <sheetName val="TAX_INNOVICE5"/>
      <sheetName val="Const__Est__3"/>
      <sheetName val="1__概述1"/>
      <sheetName val="inf_cash15"/>
      <sheetName val="accom_cash15"/>
      <sheetName val="Sports_cash15"/>
      <sheetName val="train_cash15"/>
      <sheetName val="site_cash_15"/>
      <sheetName val="Water_cash15"/>
      <sheetName val="CCTV_cash15"/>
      <sheetName val="Cashflow-with_baseline15"/>
      <sheetName val="Day_work8"/>
      <sheetName val="List_of_OGD's7"/>
      <sheetName val="E_&amp;_R6"/>
      <sheetName val="Exec_Summary6"/>
      <sheetName val="Obs_6"/>
      <sheetName val="Obs_(r)6"/>
      <sheetName val="Cost_Summary6"/>
      <sheetName val="Cost_Summary_(2)6"/>
      <sheetName val="S08__Preliminaries6"/>
      <sheetName val="L4L8L9_Master6"/>
      <sheetName val="Rate_w(Remarks)6"/>
      <sheetName val="Rate_ONLY6"/>
      <sheetName val="Option_16"/>
      <sheetName val="Option_26"/>
      <sheetName val="Option_36"/>
      <sheetName val="Option_46"/>
      <sheetName val="Additional_SOR_Comparison6"/>
      <sheetName val="S10__PC_&amp;_Provisional_Sum6"/>
      <sheetName val="Base_(2)6"/>
      <sheetName val="Opt_D_(2)6"/>
      <sheetName val="L7_DAH-superseded6"/>
      <sheetName val="Bill_106"/>
      <sheetName val="Rate_Analysis6"/>
      <sheetName val="Core_Data6"/>
      <sheetName val="final_abstract6"/>
      <sheetName val="MN_T_B_6"/>
      <sheetName val="OPEN_TO_SKY_AREA_A_WING6"/>
      <sheetName val="C_WING_OPEN_TO_SKY_PUTTY6"/>
      <sheetName val="open_to_sky_area_a&amp;c_wing6"/>
      <sheetName val="A_WING_OUT_SIDE_6"/>
      <sheetName val="Terrace_6"/>
      <sheetName val="C_wing_out_side_6"/>
      <sheetName val="Extra_Work6"/>
      <sheetName val="Summary_of_floor_6"/>
      <sheetName val="CUMM_6"/>
      <sheetName val="TAX_INNOVICE6"/>
      <sheetName val="checkout_age4"/>
      <sheetName val="busy_store4"/>
      <sheetName val="Updated_group4"/>
      <sheetName val="dev_prog_at_week124"/>
      <sheetName val="Const__Est__4"/>
      <sheetName val="Data_Sheet2"/>
      <sheetName val="Sales_&amp;_Prod2"/>
      <sheetName val="Fee_Rate_Summary2"/>
      <sheetName val="beam-reinft-IIInd_floor2"/>
      <sheetName val="SPT_vs_PHI2"/>
      <sheetName val="ACAD_Finishes2"/>
      <sheetName val="Site_Details2"/>
      <sheetName val="Site_Area_Statement2"/>
      <sheetName val="SB_SCH_A72"/>
      <sheetName val="1__概述2"/>
      <sheetName val="Intro"/>
      <sheetName val="KL-CABLE"/>
      <sheetName val="부산제일극장"/>
      <sheetName val="F4-F7"/>
      <sheetName val="VARIABLE"/>
      <sheetName val="p&amp;m"/>
      <sheetName val="11-hsd"/>
      <sheetName val="13-septic"/>
      <sheetName val="7-ug"/>
      <sheetName val="2-utility"/>
      <sheetName val="VCH-SLC"/>
      <sheetName val="Supplier"/>
      <sheetName val="ENCL9"/>
      <sheetName val="analysis"/>
      <sheetName val="Quantity"/>
      <sheetName val="Planning List"/>
      <sheetName val="Prog. Dates"/>
      <sheetName val="Prog. Dates (2)"/>
      <sheetName val="Logistics Interface Data"/>
      <sheetName val="Sheet4"/>
      <sheetName val="OnSchedule"/>
      <sheetName val="MP-OnSchedule"/>
      <sheetName val="Conc-OnSchedule"/>
      <sheetName val="Calculations"/>
      <sheetName val="Interface Log"/>
      <sheetName val="H-OnSchedule MP"/>
      <sheetName val="H-Curve"/>
      <sheetName val="Planning List (2)"/>
      <sheetName val="H-Budget"/>
      <sheetName val="H-Summary"/>
      <sheetName val="H-Curve (2)"/>
      <sheetName val="AG-OnSchedule MP"/>
      <sheetName val="Sheet8"/>
      <sheetName val="Sheet8 (2)"/>
      <sheetName val="Nursery"/>
      <sheetName val="MS-Impacted Dates"/>
      <sheetName val="Budget"/>
      <sheetName val="Curve"/>
      <sheetName val="PB"/>
      <sheetName val="Proj Cost Sumry"/>
      <sheetName val="worksheet"/>
      <sheetName val="UTILITY"/>
      <sheetName val="Legend"/>
      <sheetName val="COLUMN"/>
      <sheetName val="Material List "/>
      <sheetName val="Bldg"/>
      <sheetName val="Raw Data"/>
      <sheetName val="Valuation"/>
      <sheetName val="site works"/>
      <sheetName val="Proj_Cost_Sumry"/>
      <sheetName val="site_works"/>
      <sheetName val="SUMMARYMCA"/>
      <sheetName val="Proj_Cost_Sumry1"/>
      <sheetName val="site_works1"/>
      <sheetName val="opstat"/>
      <sheetName val="costs"/>
      <sheetName val="????_???_??1"/>
      <sheetName val="2_0_Variations1"/>
      <sheetName val="PRECAST_lightconc-II"/>
      <sheetName val="SC_Cost_FEB_03"/>
      <sheetName val="3RD fEB 2020 Flab"/>
      <sheetName val="28th Feb 2020 Flab"/>
      <sheetName val="CLR FLAB Tracker 27032020"/>
      <sheetName val="Flab 1.5.2020"/>
      <sheetName val="060420 Dates"/>
      <sheetName val="Active Notices"/>
      <sheetName val="L&amp;P Data 22052020"/>
      <sheetName val="CLR FLAB Tracker 21052020"/>
      <sheetName val="Land Outstading LAPS informatio"/>
      <sheetName val="Active Notices (2)"/>
      <sheetName val="P_5_Cost_-_In_Year"/>
      <sheetName val="Data_Sheet3"/>
      <sheetName val="Breakdown"/>
      <sheetName val="Spatial"/>
      <sheetName val="CFA"/>
      <sheetName val="1998"/>
      <sheetName val="STCKLOSS"/>
      <sheetName val="D0026B3"/>
      <sheetName val="GLs"/>
      <sheetName val="3_0_pre-construction1"/>
      <sheetName val="날개벽(좌,우=60도-4개)"/>
      <sheetName val="200205C"/>
      <sheetName val="beam-reinft-machine rm"/>
      <sheetName val="????_???_??2"/>
      <sheetName val="beam-reinft-IIInd_floor3"/>
      <sheetName val="Sales_&amp;_Prod3"/>
      <sheetName val="Fee_Rate_Summary3"/>
      <sheetName val="SPT_vs_PHI3"/>
      <sheetName val="ACAD_Finishes3"/>
      <sheetName val="Site_Details3"/>
      <sheetName val="Site_Area_Statement3"/>
      <sheetName val="SB_SCH_A73"/>
      <sheetName val="????_???_??3"/>
      <sheetName val="유림골조"/>
      <sheetName val="공통부대비"/>
      <sheetName val="Section 4"/>
      <sheetName val="____ ___ __"/>
      <sheetName val="One Pager Summary Graphs"/>
      <sheetName val="DASHBOARD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rate build-up"/>
      <sheetName val="Land-based Equipment Library"/>
      <sheetName val="Marine Equipment Library"/>
      <sheetName val="LandEquipmentSchedule"/>
      <sheetName val="MarineEquipmentSchedule"/>
      <sheetName val=""/>
      <sheetName val="Checklist_for_rate_build-up"/>
      <sheetName val="Land-based_Equipment_Library"/>
      <sheetName val="Marine_Equipment_Libr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ly"/>
      <sheetName val="Contents"/>
      <sheetName val="1."/>
      <sheetName val="Introduction"/>
      <sheetName val="2."/>
      <sheetName val="High Level Summary 12.6%"/>
      <sheetName val="High Level Summary 14.9%"/>
      <sheetName val="High Level Summary 18%2"/>
      <sheetName val="3.1"/>
      <sheetName val="Elements"/>
      <sheetName val="3.2"/>
      <sheetName val="Infl-Jun27 index-Q214 Pricing"/>
      <sheetName val="Infl-Jun27 index-Q114 Pricing"/>
      <sheetName val="Infl-Jun27 index-Q413 Pricing "/>
      <sheetName val="Inflation - Apr_30 index"/>
      <sheetName val="3B"/>
      <sheetName val="Specification"/>
      <sheetName val="4."/>
      <sheetName val="Enabling"/>
      <sheetName val="Pav Steel (E)"/>
      <sheetName val="Pav-Timber (D)"/>
      <sheetName val="Pav Steel (D Option)"/>
      <sheetName val="6th form (E)"/>
      <sheetName val="6th form (D)"/>
      <sheetName val="East Stairwell (E)"/>
      <sheetName val="East Stairwell (D)"/>
      <sheetName val="West Stairwell (E)"/>
      <sheetName val="West Stairwell (D)"/>
      <sheetName val="Kitchen &amp; Dining (E)"/>
      <sheetName val="Kitchen &amp; Dining (D)"/>
      <sheetName val="Cafe &amp; Kitchen (D)"/>
      <sheetName val="Link (E)"/>
      <sheetName val="Link (D)"/>
      <sheetName val="Creative Arts (E)"/>
      <sheetName val="Creative Arts (D)"/>
      <sheetName val="Staff and Admin (E)"/>
      <sheetName val="Staff and Admin (D)"/>
      <sheetName val="Classrooms (E)"/>
      <sheetName val="Classrooms (D)"/>
      <sheetName val="Art (E)"/>
      <sheetName val="Art (D)"/>
      <sheetName val="Externals (E)"/>
      <sheetName val="Externals (D)"/>
      <sheetName val="Sheet1"/>
      <sheetName val="Creative Arts - Fitness (E)"/>
      <sheetName val="Creative Arts - Fitness (D)"/>
      <sheetName val="Creative Arts - Class and O (E)"/>
      <sheetName val="Creative Arts - Class and O (D)"/>
      <sheetName val="Creative Arts - Foyer (E)"/>
      <sheetName val="Creative Arts - Foyer (D)"/>
      <sheetName val="Creative Arts - Recital (E)"/>
      <sheetName val="Creative Arts - Recital (D)"/>
      <sheetName val="Preliminaries - 153 wks"/>
      <sheetName val="Preliminaries - 98 wks"/>
      <sheetName val="Temp Plant"/>
      <sheetName val="Prime cost sum 7.0%"/>
      <sheetName val="Current Drwgs vs Stage D est "/>
      <sheetName val="CLT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ersion Control"/>
      <sheetName val="Contents"/>
      <sheetName val="Key Structure Lengths"/>
      <sheetName val="Preamble"/>
      <sheetName val="Fees "/>
      <sheetName val="Summary"/>
      <sheetName val="PCA"/>
      <sheetName val="Design"/>
      <sheetName val="Target prelim  stage 1 and 1A"/>
      <sheetName val="Target prelim  stage 2-4"/>
      <sheetName val="Plant Schedule"/>
      <sheetName val="Example Bill"/>
      <sheetName val="Assumptions"/>
      <sheetName val="Bill 1"/>
      <sheetName val="Bill 2 - Option 1"/>
      <sheetName val="Bill 2 - Option 2"/>
      <sheetName val="Bill 2 - Option 3"/>
      <sheetName val="Bill 2 - Option 4"/>
      <sheetName val="Bill 3 - Type 1"/>
      <sheetName val="Bill 3 - Type 2"/>
      <sheetName val="Bill 3 - Type 3"/>
      <sheetName val="Bill 4 - Type 1"/>
      <sheetName val="Bill 4 - Type 2"/>
      <sheetName val="Bill 4 - Type 3"/>
      <sheetName val="Bill 5 - Diaphragm Wall"/>
      <sheetName val="Bill 5 - Contiguous Wall"/>
      <sheetName val="Bill 5 - RC Wall"/>
      <sheetName val="Bill 5 - Blockwork Wall"/>
      <sheetName val="Bill 6 - Reclamation"/>
      <sheetName val="Bill 7"/>
      <sheetName val="Bill 8.1"/>
      <sheetName val="Bill 8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E00B-7CE8-4C04-BF79-26955F589796}">
  <sheetPr>
    <pageSetUpPr fitToPage="1"/>
  </sheetPr>
  <dimension ref="A1:L57"/>
  <sheetViews>
    <sheetView tabSelected="1" view="pageBreakPreview" zoomScale="110" zoomScaleNormal="100" zoomScaleSheetLayoutView="110" workbookViewId="0">
      <selection activeCell="L23" sqref="L23"/>
    </sheetView>
  </sheetViews>
  <sheetFormatPr defaultColWidth="8.85546875" defaultRowHeight="15.6" outlineLevelRow="1" outlineLevelCol="1"/>
  <cols>
    <col min="1" max="1" width="1.7109375" style="11" customWidth="1"/>
    <col min="2" max="2" width="7" style="16" customWidth="1"/>
    <col min="3" max="3" width="51.7109375" style="15" customWidth="1"/>
    <col min="4" max="4" width="11.5703125" style="17" customWidth="1"/>
    <col min="5" max="5" width="14.28515625" style="15" customWidth="1"/>
    <col min="6" max="6" width="10.7109375" style="15" customWidth="1"/>
    <col min="7" max="7" width="1.42578125" style="15" customWidth="1"/>
    <col min="8" max="8" width="15.28515625" style="15" hidden="1" customWidth="1" outlineLevel="1"/>
    <col min="9" max="9" width="8.7109375" style="15" hidden="1" customWidth="1" outlineLevel="1"/>
    <col min="10" max="10" width="18.7109375" style="43" hidden="1" customWidth="1" outlineLevel="1"/>
    <col min="11" max="11" width="13.7109375" style="89" bestFit="1" customWidth="1" collapsed="1"/>
    <col min="12" max="12" width="12.28515625" style="13" customWidth="1"/>
    <col min="13" max="13" width="13.7109375" style="13" customWidth="1"/>
    <col min="14" max="14" width="12.7109375" style="13" customWidth="1"/>
    <col min="15" max="15" width="13.5703125" style="13" bestFit="1" customWidth="1"/>
    <col min="16" max="16384" width="8.85546875" style="13"/>
  </cols>
  <sheetData>
    <row r="1" spans="1:11" s="1" customFormat="1" ht="14.45">
      <c r="C1" s="2"/>
      <c r="D1" s="2"/>
      <c r="E1" s="2"/>
      <c r="F1" s="2"/>
      <c r="G1" s="2"/>
      <c r="H1" s="2"/>
      <c r="I1" s="2"/>
      <c r="J1" s="38"/>
      <c r="K1" s="88"/>
    </row>
    <row r="2" spans="1:11" s="1" customFormat="1" ht="14.45">
      <c r="C2" s="2"/>
      <c r="D2" s="2"/>
      <c r="E2" s="3"/>
      <c r="F2" s="56" t="s">
        <v>0</v>
      </c>
      <c r="G2" s="56"/>
      <c r="J2" s="39"/>
      <c r="K2" s="88"/>
    </row>
    <row r="3" spans="1:11" s="1" customFormat="1" ht="14.45">
      <c r="B3" s="2"/>
      <c r="C3" s="2"/>
      <c r="D3" s="2"/>
      <c r="E3" s="3"/>
      <c r="F3" s="56" t="s">
        <v>1</v>
      </c>
      <c r="G3" s="56"/>
      <c r="J3" s="39"/>
      <c r="K3" s="88"/>
    </row>
    <row r="4" spans="1:11" s="1" customFormat="1" ht="14.45">
      <c r="B4" s="4"/>
      <c r="C4" s="4"/>
      <c r="D4" s="4"/>
      <c r="E4" s="5"/>
      <c r="F4" s="5"/>
      <c r="G4" s="5"/>
      <c r="H4" s="57"/>
      <c r="I4" s="5"/>
      <c r="J4" s="40"/>
      <c r="K4" s="88"/>
    </row>
    <row r="5" spans="1:11" s="7" customFormat="1">
      <c r="B5" s="8" t="s">
        <v>2</v>
      </c>
      <c r="C5" s="9"/>
      <c r="D5" s="9"/>
      <c r="E5" s="10"/>
      <c r="F5" s="10"/>
      <c r="G5" s="10"/>
      <c r="H5" s="10"/>
      <c r="I5" s="10"/>
      <c r="J5" s="41"/>
      <c r="K5" s="88"/>
    </row>
    <row r="6" spans="1:11" s="7" customFormat="1" ht="7.5" customHeight="1">
      <c r="A6" s="68"/>
      <c r="B6" s="68"/>
      <c r="C6" s="68"/>
      <c r="D6" s="68"/>
      <c r="E6" s="68"/>
      <c r="F6" s="68"/>
      <c r="G6" s="68"/>
      <c r="H6" s="68"/>
      <c r="I6" s="68"/>
      <c r="J6" s="125"/>
      <c r="K6" s="88"/>
    </row>
    <row r="7" spans="1:11" customFormat="1" ht="16.5" customHeight="1">
      <c r="A7" s="22"/>
      <c r="B7" s="8" t="s">
        <v>3</v>
      </c>
      <c r="C7" s="29"/>
      <c r="D7" s="17"/>
      <c r="E7" s="65"/>
      <c r="F7" s="65"/>
      <c r="G7" s="65"/>
      <c r="H7" s="65" t="s">
        <v>4</v>
      </c>
      <c r="I7" s="15"/>
      <c r="J7" s="43"/>
      <c r="K7" s="89"/>
    </row>
    <row r="8" spans="1:11" customFormat="1" ht="16.5" customHeight="1">
      <c r="A8" s="22"/>
      <c r="B8" s="8"/>
      <c r="C8" s="29"/>
      <c r="D8" s="44" t="s">
        <v>5</v>
      </c>
      <c r="E8" s="29">
        <v>215</v>
      </c>
      <c r="F8" s="29" t="s">
        <v>6</v>
      </c>
      <c r="G8" s="29"/>
      <c r="H8" s="29">
        <v>215</v>
      </c>
      <c r="I8" s="29" t="s">
        <v>6</v>
      </c>
      <c r="J8" s="43"/>
      <c r="K8" s="89"/>
    </row>
    <row r="9" spans="1:11" customFormat="1" ht="8.4499999999999993" customHeight="1">
      <c r="A9" s="22"/>
      <c r="B9" s="24"/>
      <c r="C9" s="29"/>
      <c r="D9" s="44"/>
      <c r="E9" s="29"/>
      <c r="F9" s="29"/>
      <c r="G9" s="29"/>
      <c r="H9" s="29"/>
      <c r="I9" s="29"/>
      <c r="J9" s="42"/>
      <c r="K9" s="89"/>
    </row>
    <row r="10" spans="1:11" customFormat="1" ht="14.45">
      <c r="A10" s="22"/>
      <c r="B10" s="45" t="s">
        <v>7</v>
      </c>
      <c r="C10" s="46" t="s">
        <v>8</v>
      </c>
      <c r="D10" s="46"/>
      <c r="E10" s="47" t="s">
        <v>9</v>
      </c>
      <c r="F10" s="45" t="s">
        <v>10</v>
      </c>
      <c r="G10" s="70"/>
      <c r="H10" s="47" t="s">
        <v>9</v>
      </c>
      <c r="I10" s="45" t="s">
        <v>10</v>
      </c>
      <c r="J10" s="20" t="s">
        <v>11</v>
      </c>
      <c r="K10" s="89"/>
    </row>
    <row r="11" spans="1:11" customFormat="1" ht="15" customHeight="1">
      <c r="A11" s="22"/>
      <c r="B11" s="25">
        <v>0</v>
      </c>
      <c r="C11" s="26" t="s">
        <v>12</v>
      </c>
      <c r="D11" s="27"/>
      <c r="E11" s="28">
        <f>'2.0.2.Elemental Summary'!E13</f>
        <v>65567</v>
      </c>
      <c r="F11" s="28">
        <f t="shared" ref="F11:F20" si="0">E11/$E$8</f>
        <v>304.96279069767439</v>
      </c>
      <c r="G11" s="71"/>
      <c r="H11" s="28">
        <v>0</v>
      </c>
      <c r="I11" s="28">
        <f t="shared" ref="I11:I31" si="1">H11/$H$8</f>
        <v>0</v>
      </c>
      <c r="J11" s="20"/>
      <c r="K11" s="89"/>
    </row>
    <row r="12" spans="1:11" customFormat="1" ht="15" customHeight="1">
      <c r="A12" s="22"/>
      <c r="B12" s="25">
        <v>2</v>
      </c>
      <c r="C12" s="26" t="s">
        <v>13</v>
      </c>
      <c r="D12" s="27"/>
      <c r="E12" s="28">
        <f>'2.0.2.Elemental Summary'!E16</f>
        <v>68690</v>
      </c>
      <c r="F12" s="28">
        <f t="shared" si="0"/>
        <v>319.48837209302326</v>
      </c>
      <c r="G12" s="71"/>
      <c r="H12" s="28">
        <v>0</v>
      </c>
      <c r="I12" s="28">
        <f t="shared" si="1"/>
        <v>0</v>
      </c>
      <c r="J12" s="20"/>
      <c r="K12" s="89"/>
    </row>
    <row r="13" spans="1:11" customFormat="1" ht="15" customHeight="1">
      <c r="A13" s="22"/>
      <c r="B13" s="25">
        <v>3</v>
      </c>
      <c r="C13" s="26" t="s">
        <v>14</v>
      </c>
      <c r="D13" s="27"/>
      <c r="E13" s="28">
        <f>'2.0.2.Elemental Summary'!E20</f>
        <v>58898</v>
      </c>
      <c r="F13" s="28">
        <f t="shared" si="0"/>
        <v>273.94418604651162</v>
      </c>
      <c r="G13" s="71"/>
      <c r="H13" s="28">
        <v>0</v>
      </c>
      <c r="I13" s="28">
        <f t="shared" si="1"/>
        <v>0</v>
      </c>
      <c r="J13" s="20"/>
      <c r="K13" s="89"/>
    </row>
    <row r="14" spans="1:11" customFormat="1" ht="15" customHeight="1">
      <c r="A14" s="22"/>
      <c r="B14" s="25">
        <v>4</v>
      </c>
      <c r="C14" s="26" t="s">
        <v>15</v>
      </c>
      <c r="D14" s="27"/>
      <c r="E14" s="28">
        <f>'2.0.2.Elemental Summary'!E22</f>
        <v>765000</v>
      </c>
      <c r="F14" s="28">
        <f t="shared" si="0"/>
        <v>3558.1395348837209</v>
      </c>
      <c r="G14" s="71"/>
      <c r="H14" s="28">
        <v>0</v>
      </c>
      <c r="I14" s="28">
        <f t="shared" si="1"/>
        <v>0</v>
      </c>
      <c r="J14" s="23"/>
      <c r="K14" s="89"/>
    </row>
    <row r="15" spans="1:11" customFormat="1" ht="15" customHeight="1">
      <c r="A15" s="22"/>
      <c r="B15" s="25">
        <v>5</v>
      </c>
      <c r="C15" s="26" t="s">
        <v>16</v>
      </c>
      <c r="D15" s="27"/>
      <c r="E15" s="28">
        <f>'2.0.2.Elemental Summary'!E31</f>
        <v>537573.75</v>
      </c>
      <c r="F15" s="28">
        <f t="shared" si="0"/>
        <v>2500.3430232558139</v>
      </c>
      <c r="G15" s="71"/>
      <c r="H15" s="28">
        <v>0</v>
      </c>
      <c r="I15" s="28">
        <f t="shared" si="1"/>
        <v>0</v>
      </c>
      <c r="J15" s="23"/>
      <c r="K15" s="89"/>
    </row>
    <row r="16" spans="1:11" customFormat="1" ht="15" customHeight="1">
      <c r="A16" s="22"/>
      <c r="B16" s="30"/>
      <c r="C16" s="31" t="s">
        <v>17</v>
      </c>
      <c r="D16" s="32"/>
      <c r="E16" s="33">
        <f>E11+E12+E13+E14+E15</f>
        <v>1495728.75</v>
      </c>
      <c r="F16" s="33">
        <f t="shared" si="0"/>
        <v>6956.8779069767443</v>
      </c>
      <c r="G16" s="64"/>
      <c r="H16" s="33">
        <f>SUM(H11:H15)</f>
        <v>0</v>
      </c>
      <c r="I16" s="58">
        <f t="shared" si="1"/>
        <v>0</v>
      </c>
      <c r="J16" s="20"/>
      <c r="K16" s="89"/>
    </row>
    <row r="17" spans="1:11" customFormat="1" ht="15" customHeight="1">
      <c r="A17" s="22"/>
      <c r="B17" s="25">
        <v>9</v>
      </c>
      <c r="C17" s="26" t="s">
        <v>18</v>
      </c>
      <c r="D17" s="34"/>
      <c r="E17" s="28">
        <f>'2.0.2.Elemental Summary'!E36</f>
        <v>362500</v>
      </c>
      <c r="F17" s="28">
        <f t="shared" si="0"/>
        <v>1686.046511627907</v>
      </c>
      <c r="G17" s="71"/>
      <c r="H17" s="28">
        <f>H16*16%</f>
        <v>0</v>
      </c>
      <c r="I17" s="28">
        <f t="shared" si="1"/>
        <v>0</v>
      </c>
      <c r="J17" s="21"/>
      <c r="K17" s="89"/>
    </row>
    <row r="18" spans="1:11" customFormat="1" ht="15" customHeight="1">
      <c r="A18" s="22"/>
      <c r="B18" s="25">
        <v>10</v>
      </c>
      <c r="C18" s="26" t="s">
        <v>19</v>
      </c>
      <c r="D18" s="34">
        <v>0.05</v>
      </c>
      <c r="E18" s="28">
        <f>(+E16+E17)*D18</f>
        <v>92911.4375</v>
      </c>
      <c r="F18" s="28">
        <f t="shared" si="0"/>
        <v>432.14622093023257</v>
      </c>
      <c r="G18" s="71"/>
      <c r="H18" s="28">
        <f>(H16+H17)*6.5%</f>
        <v>0</v>
      </c>
      <c r="I18" s="28">
        <f t="shared" si="1"/>
        <v>0</v>
      </c>
      <c r="J18" s="21" t="s">
        <v>20</v>
      </c>
      <c r="K18" s="89"/>
    </row>
    <row r="19" spans="1:11" customFormat="1" ht="15" customHeight="1">
      <c r="A19" s="22"/>
      <c r="B19" s="30"/>
      <c r="C19" s="31" t="s">
        <v>21</v>
      </c>
      <c r="D19" s="32"/>
      <c r="E19" s="33">
        <f>SUM(E16:E18)</f>
        <v>1951140.1875</v>
      </c>
      <c r="F19" s="33">
        <f t="shared" si="0"/>
        <v>9075.0706395348843</v>
      </c>
      <c r="G19" s="64"/>
      <c r="H19" s="33">
        <f>SUM(H16:H18)</f>
        <v>0</v>
      </c>
      <c r="I19" s="58">
        <f t="shared" si="1"/>
        <v>0</v>
      </c>
      <c r="J19" s="20"/>
      <c r="K19" s="89"/>
    </row>
    <row r="20" spans="1:11" customFormat="1" ht="15" customHeight="1">
      <c r="A20" s="22"/>
      <c r="B20" s="25">
        <v>11</v>
      </c>
      <c r="C20" s="26" t="s">
        <v>22</v>
      </c>
      <c r="D20" s="35"/>
      <c r="E20" s="28">
        <f>'2.0.2.Elemental Summary'!E39</f>
        <v>141800</v>
      </c>
      <c r="F20" s="28">
        <f t="shared" si="0"/>
        <v>659.53488372093022</v>
      </c>
      <c r="G20" s="71"/>
      <c r="H20" s="28">
        <v>0</v>
      </c>
      <c r="I20" s="28">
        <f t="shared" si="1"/>
        <v>0</v>
      </c>
      <c r="J20" s="20"/>
      <c r="K20" s="89"/>
    </row>
    <row r="21" spans="1:11" customFormat="1" ht="15" customHeight="1">
      <c r="A21" s="22"/>
      <c r="B21" s="30"/>
      <c r="C21" s="31" t="s">
        <v>23</v>
      </c>
      <c r="D21" s="32"/>
      <c r="E21" s="33">
        <f>SUM(E19:E20)</f>
        <v>2092940.1875</v>
      </c>
      <c r="F21" s="33">
        <f t="shared" ref="F21:F30" si="2">E21/$E$8</f>
        <v>9734.6055232558138</v>
      </c>
      <c r="G21" s="64"/>
      <c r="H21" s="33">
        <f>SUM(H19:H20)</f>
        <v>0</v>
      </c>
      <c r="I21" s="58">
        <f t="shared" si="1"/>
        <v>0</v>
      </c>
      <c r="J21" s="20"/>
      <c r="K21" s="89"/>
    </row>
    <row r="22" spans="1:11" customFormat="1" ht="15" customHeight="1">
      <c r="A22" s="22"/>
      <c r="B22" s="25">
        <v>12</v>
      </c>
      <c r="C22" s="26" t="s">
        <v>24</v>
      </c>
      <c r="D22" s="35"/>
      <c r="E22" s="28">
        <f>'2.0.2.Elemental Summary'!E41</f>
        <v>1975045</v>
      </c>
      <c r="F22" s="28">
        <f t="shared" ref="F22" si="3">E22/$E$8</f>
        <v>9186.2558139534885</v>
      </c>
      <c r="G22" s="71"/>
      <c r="H22" s="28">
        <v>0</v>
      </c>
      <c r="I22" s="28">
        <f t="shared" ref="I22:I23" si="4">H22/$H$8</f>
        <v>0</v>
      </c>
      <c r="J22" s="20"/>
      <c r="K22" s="89"/>
    </row>
    <row r="23" spans="1:11" customFormat="1" ht="15" customHeight="1">
      <c r="A23" s="22"/>
      <c r="B23" s="30"/>
      <c r="C23" s="31" t="s">
        <v>23</v>
      </c>
      <c r="D23" s="32"/>
      <c r="E23" s="33">
        <f>SUM(E21:E22)</f>
        <v>4067985.1875</v>
      </c>
      <c r="F23" s="33">
        <f>E23/$E$8</f>
        <v>18920.861337209302</v>
      </c>
      <c r="G23" s="64"/>
      <c r="H23" s="33">
        <f>SUM(H21:H22)</f>
        <v>0</v>
      </c>
      <c r="I23" s="58">
        <f t="shared" si="4"/>
        <v>0</v>
      </c>
      <c r="J23" s="20"/>
      <c r="K23" s="89"/>
    </row>
    <row r="24" spans="1:11" customFormat="1" ht="15" customHeight="1">
      <c r="A24" s="22"/>
      <c r="B24" s="25">
        <v>13.1</v>
      </c>
      <c r="C24" s="26" t="s">
        <v>25</v>
      </c>
      <c r="D24" s="34"/>
      <c r="E24" s="28">
        <f>'2.0.2.Elemental Summary'!E43</f>
        <v>397875</v>
      </c>
      <c r="F24" s="28">
        <f>E24/$E$8</f>
        <v>1850.5813953488373</v>
      </c>
      <c r="G24" s="71"/>
      <c r="H24" s="28">
        <f>H21*3%</f>
        <v>0</v>
      </c>
      <c r="I24" s="28">
        <f t="shared" si="1"/>
        <v>0</v>
      </c>
      <c r="J24" s="21"/>
      <c r="K24" s="89"/>
    </row>
    <row r="25" spans="1:11" customFormat="1" ht="15" customHeight="1">
      <c r="A25" s="22"/>
      <c r="B25" s="25">
        <v>13.2</v>
      </c>
      <c r="C25" s="26" t="s">
        <v>26</v>
      </c>
      <c r="D25" s="34"/>
      <c r="E25" s="105" t="s">
        <v>27</v>
      </c>
      <c r="F25" s="104"/>
      <c r="G25" s="71"/>
      <c r="H25" s="28">
        <f>H21*5%</f>
        <v>0</v>
      </c>
      <c r="I25" s="28">
        <f t="shared" si="1"/>
        <v>0</v>
      </c>
      <c r="J25" s="21"/>
      <c r="K25" s="89"/>
    </row>
    <row r="26" spans="1:11" customFormat="1" ht="15" customHeight="1">
      <c r="A26" s="22"/>
      <c r="B26" s="25"/>
      <c r="C26" s="26" t="s">
        <v>28</v>
      </c>
      <c r="D26" s="34"/>
      <c r="E26" s="28">
        <f>SUM(E24:E25)</f>
        <v>397875</v>
      </c>
      <c r="F26" s="28">
        <f>E26/$E$8</f>
        <v>1850.5813953488373</v>
      </c>
      <c r="G26" s="71"/>
      <c r="H26" s="28">
        <f>SUM(H24:H25)</f>
        <v>0</v>
      </c>
      <c r="I26" s="28">
        <f t="shared" si="1"/>
        <v>0</v>
      </c>
      <c r="J26" s="21"/>
      <c r="K26" s="89"/>
    </row>
    <row r="27" spans="1:11" customFormat="1" ht="15" customHeight="1">
      <c r="A27" s="22"/>
      <c r="B27" s="30"/>
      <c r="C27" s="31" t="s">
        <v>29</v>
      </c>
      <c r="D27" s="32"/>
      <c r="E27" s="33">
        <f>E23+E26</f>
        <v>4465860.1875</v>
      </c>
      <c r="F27" s="33">
        <f t="shared" si="2"/>
        <v>20771.442732558138</v>
      </c>
      <c r="G27" s="64"/>
      <c r="H27" s="33">
        <f>SUM(H21:H25)</f>
        <v>0</v>
      </c>
      <c r="I27" s="58">
        <f t="shared" si="1"/>
        <v>0</v>
      </c>
      <c r="J27" s="20"/>
      <c r="K27" s="89"/>
    </row>
    <row r="28" spans="1:11" customFormat="1" ht="15" customHeight="1">
      <c r="A28" s="22"/>
      <c r="B28" s="25">
        <v>14</v>
      </c>
      <c r="C28" s="26" t="s">
        <v>30</v>
      </c>
      <c r="D28" s="34">
        <v>2.1537593454648046E-2</v>
      </c>
      <c r="E28" s="69">
        <f>E27*D28</f>
        <v>96183.881143673294</v>
      </c>
      <c r="F28" s="28">
        <f>E28/$E$8</f>
        <v>447.36688904034088</v>
      </c>
      <c r="G28" s="71"/>
      <c r="H28" s="28">
        <f>H27*7.5%</f>
        <v>0</v>
      </c>
      <c r="I28" s="28">
        <f t="shared" si="1"/>
        <v>0</v>
      </c>
      <c r="J28" s="21" t="s">
        <v>20</v>
      </c>
      <c r="K28" s="89"/>
    </row>
    <row r="29" spans="1:11" customFormat="1" ht="15" customHeight="1">
      <c r="A29" s="22"/>
      <c r="B29" s="30"/>
      <c r="C29" s="31" t="s">
        <v>31</v>
      </c>
      <c r="D29" s="32"/>
      <c r="E29" s="33">
        <f>SUM(E27:E28)</f>
        <v>4562044.0686436733</v>
      </c>
      <c r="F29" s="33">
        <f t="shared" si="2"/>
        <v>21218.809621598481</v>
      </c>
      <c r="G29" s="64"/>
      <c r="H29" s="33">
        <f>SUM(H27:H28)</f>
        <v>0</v>
      </c>
      <c r="I29" s="58">
        <f t="shared" si="1"/>
        <v>0</v>
      </c>
      <c r="J29" s="20"/>
      <c r="K29" s="89"/>
    </row>
    <row r="30" spans="1:11" customFormat="1" ht="15" customHeight="1">
      <c r="A30" s="22"/>
      <c r="B30" s="25">
        <v>15</v>
      </c>
      <c r="C30" s="26" t="s">
        <v>32</v>
      </c>
      <c r="D30" s="35" t="s">
        <v>33</v>
      </c>
      <c r="E30" s="28">
        <v>0</v>
      </c>
      <c r="F30" s="28">
        <f t="shared" si="2"/>
        <v>0</v>
      </c>
      <c r="G30" s="71"/>
      <c r="H30" s="28">
        <v>0</v>
      </c>
      <c r="I30" s="28">
        <f t="shared" si="1"/>
        <v>0</v>
      </c>
      <c r="J30" s="20"/>
      <c r="K30" s="89"/>
    </row>
    <row r="31" spans="1:11" customFormat="1" ht="15" customHeight="1">
      <c r="A31" s="22"/>
      <c r="B31" s="30"/>
      <c r="C31" s="31" t="s">
        <v>34</v>
      </c>
      <c r="D31" s="32"/>
      <c r="E31" s="33">
        <f>SUM(E29:E30)</f>
        <v>4562044.0686436733</v>
      </c>
      <c r="F31" s="33">
        <f>E31/$E$8</f>
        <v>21218.809621598481</v>
      </c>
      <c r="G31" s="64"/>
      <c r="H31" s="33">
        <f>SUM(H29:H30)</f>
        <v>0</v>
      </c>
      <c r="I31" s="58">
        <f t="shared" si="1"/>
        <v>0</v>
      </c>
      <c r="J31" s="20"/>
      <c r="K31" s="89"/>
    </row>
    <row r="32" spans="1:11" customFormat="1" ht="15" customHeight="1">
      <c r="A32" s="22"/>
      <c r="B32" s="24"/>
      <c r="C32" s="63"/>
      <c r="D32" s="50"/>
      <c r="E32" s="64"/>
      <c r="F32" s="64"/>
      <c r="G32" s="64"/>
      <c r="H32" s="66"/>
      <c r="I32" s="66"/>
      <c r="J32" s="20"/>
      <c r="K32" s="89"/>
    </row>
    <row r="33" spans="1:12" s="110" customFormat="1" ht="12.95" hidden="1" outlineLevel="1">
      <c r="A33" s="106"/>
      <c r="B33" s="107"/>
      <c r="C33" s="111" t="s">
        <v>35</v>
      </c>
      <c r="D33" s="114"/>
      <c r="E33" s="115">
        <f>(E21-('2.0.2.4_FF&amp;E'!G20+'2.0.2.4_FF&amp;E'!G22))+((E21-('2.0.2.4_FF&amp;E'!G20+'2.0.2.4_FF&amp;E'!G22))*D28)</f>
        <v>1422940.7669650163</v>
      </c>
      <c r="F33" s="108"/>
      <c r="G33" s="108"/>
      <c r="H33" s="108"/>
      <c r="I33" s="108"/>
      <c r="J33" s="109"/>
      <c r="K33" s="89"/>
    </row>
    <row r="34" spans="1:12" s="110" customFormat="1" ht="12.95" hidden="1" outlineLevel="1">
      <c r="A34" s="106"/>
      <c r="B34" s="107"/>
      <c r="C34" s="111" t="s">
        <v>36</v>
      </c>
      <c r="D34" s="114"/>
      <c r="E34" s="115">
        <f>E22+('2.0.2.4_FF&amp;E'!G20+'2.0.2.4_FF&amp;E'!G22)+((E22+('2.0.2.4_FF&amp;E'!G20+'2.0.2.4_FF&amp;E'!G22))*D28)</f>
        <v>2732659.031682889</v>
      </c>
      <c r="F34" s="108"/>
      <c r="G34" s="108"/>
      <c r="H34" s="108"/>
      <c r="I34" s="108"/>
      <c r="J34" s="109"/>
      <c r="K34" s="89"/>
    </row>
    <row r="35" spans="1:12" s="110" customFormat="1" ht="12.95" hidden="1" outlineLevel="1">
      <c r="A35" s="106"/>
      <c r="B35" s="107"/>
      <c r="C35" s="111" t="s">
        <v>37</v>
      </c>
      <c r="D35" s="114"/>
      <c r="E35" s="115">
        <f>E26+(E26*D28)</f>
        <v>406444.26999576809</v>
      </c>
      <c r="F35" s="108"/>
      <c r="G35" s="108"/>
      <c r="H35" s="108"/>
      <c r="I35" s="108"/>
      <c r="J35" s="109"/>
      <c r="K35" s="89"/>
    </row>
    <row r="36" spans="1:12" s="110" customFormat="1" ht="13.15" hidden="1" outlineLevel="1" thickBot="1">
      <c r="A36" s="106"/>
      <c r="B36" s="107"/>
      <c r="C36" s="111"/>
      <c r="D36" s="114"/>
      <c r="E36" s="116">
        <f>SUM(E33:E35)</f>
        <v>4562044.0686436733</v>
      </c>
      <c r="F36" s="108"/>
      <c r="G36" s="108"/>
      <c r="H36" s="108"/>
      <c r="I36" s="108"/>
      <c r="J36" s="109"/>
      <c r="K36" s="89"/>
    </row>
    <row r="37" spans="1:12" customFormat="1" ht="8.25" hidden="1" customHeight="1" outlineLevel="1" thickTop="1">
      <c r="A37" s="22"/>
      <c r="B37" s="24"/>
      <c r="C37" s="63"/>
      <c r="D37" s="50"/>
      <c r="E37" s="64"/>
      <c r="F37" s="64"/>
      <c r="G37" s="64"/>
      <c r="H37" s="64"/>
      <c r="I37" s="64"/>
      <c r="J37" s="20"/>
      <c r="K37" s="89"/>
    </row>
    <row r="38" spans="1:12" s="110" customFormat="1" ht="12.95" collapsed="1">
      <c r="A38" s="106"/>
      <c r="B38" s="107"/>
      <c r="C38" s="124" t="s">
        <v>38</v>
      </c>
      <c r="D38" s="117">
        <v>0.2</v>
      </c>
      <c r="E38" s="113">
        <f>ROUND(E33+(E33*D38),-4)</f>
        <v>1710000</v>
      </c>
      <c r="F38" s="108"/>
      <c r="G38" s="108"/>
      <c r="H38" s="108"/>
      <c r="I38" s="108"/>
      <c r="J38" s="109"/>
      <c r="K38" s="89"/>
    </row>
    <row r="39" spans="1:12" s="110" customFormat="1" ht="12.95">
      <c r="A39" s="106"/>
      <c r="B39" s="107"/>
      <c r="C39" s="124"/>
      <c r="D39" s="117">
        <v>-0.1</v>
      </c>
      <c r="E39" s="113">
        <f>ROUND(E33+(E33*D39),-4)</f>
        <v>1280000</v>
      </c>
      <c r="F39" s="108"/>
      <c r="G39" s="108"/>
      <c r="H39" s="108"/>
      <c r="I39" s="108"/>
      <c r="J39" s="109"/>
      <c r="K39" s="89"/>
    </row>
    <row r="40" spans="1:12" s="110" customFormat="1" ht="12.95">
      <c r="A40" s="106"/>
      <c r="B40" s="107"/>
      <c r="C40" s="124" t="s">
        <v>39</v>
      </c>
      <c r="D40" s="117">
        <v>0.2</v>
      </c>
      <c r="E40" s="113">
        <f>ROUND(E34+(E34*D40),-4)</f>
        <v>3280000</v>
      </c>
      <c r="F40" s="108"/>
      <c r="G40" s="108"/>
      <c r="H40" s="108"/>
      <c r="I40" s="108"/>
      <c r="J40" s="109"/>
      <c r="K40" s="89"/>
    </row>
    <row r="41" spans="1:12" s="110" customFormat="1" ht="12.95">
      <c r="A41" s="106"/>
      <c r="B41" s="107"/>
      <c r="C41" s="124"/>
      <c r="D41" s="117">
        <v>-0.1</v>
      </c>
      <c r="E41" s="113">
        <f>ROUND(E34+(E34*D41),-4)</f>
        <v>2460000</v>
      </c>
      <c r="F41" s="108"/>
      <c r="G41" s="108"/>
      <c r="H41" s="108"/>
      <c r="I41" s="108"/>
      <c r="J41" s="109"/>
      <c r="K41" s="89"/>
    </row>
    <row r="42" spans="1:12" s="110" customFormat="1" ht="12.95">
      <c r="A42" s="106"/>
      <c r="B42" s="107"/>
      <c r="C42" s="124" t="s">
        <v>40</v>
      </c>
      <c r="D42" s="112" t="s">
        <v>41</v>
      </c>
      <c r="E42" s="113">
        <f>E38+E40</f>
        <v>4990000</v>
      </c>
      <c r="F42" s="108"/>
      <c r="G42" s="108"/>
      <c r="H42" s="108"/>
      <c r="I42" s="108"/>
      <c r="J42" s="109"/>
      <c r="K42" s="89"/>
    </row>
    <row r="43" spans="1:12" s="110" customFormat="1" ht="12.95">
      <c r="A43" s="106"/>
      <c r="B43" s="107"/>
      <c r="C43" s="124"/>
      <c r="D43" s="112" t="s">
        <v>42</v>
      </c>
      <c r="E43" s="113">
        <f>E39+E41</f>
        <v>3740000</v>
      </c>
      <c r="F43" s="108"/>
      <c r="G43" s="108"/>
      <c r="H43" s="108"/>
      <c r="I43" s="108"/>
      <c r="J43" s="109"/>
      <c r="K43" s="89"/>
    </row>
    <row r="44" spans="1:12" customFormat="1" ht="15" customHeight="1">
      <c r="A44" s="22"/>
      <c r="B44" s="24"/>
      <c r="C44" s="63"/>
      <c r="D44" s="50"/>
      <c r="E44" s="64"/>
      <c r="F44" s="64"/>
      <c r="G44" s="64"/>
      <c r="H44" s="64"/>
      <c r="I44" s="64"/>
      <c r="J44" s="20"/>
      <c r="K44" s="89"/>
      <c r="L44" s="13"/>
    </row>
    <row r="45" spans="1:12" customFormat="1" ht="14.45">
      <c r="H45" s="36">
        <f>E31-H31</f>
        <v>4562044.0686436733</v>
      </c>
      <c r="I45" s="67" t="e">
        <f>H45/H31</f>
        <v>#DIV/0!</v>
      </c>
      <c r="J45" s="43"/>
      <c r="K45" s="89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</row>
    <row r="49" spans="1:9">
      <c r="A49" s="13"/>
      <c r="B49" s="13"/>
      <c r="C49" s="13"/>
      <c r="D49" s="13"/>
      <c r="E49" s="13"/>
      <c r="F49" s="13"/>
      <c r="G49" s="13"/>
      <c r="H49" s="13"/>
      <c r="I49" s="13"/>
    </row>
    <row r="50" spans="1:9">
      <c r="C50" s="18"/>
    </row>
    <row r="51" spans="1:9">
      <c r="C51" s="18"/>
    </row>
    <row r="52" spans="1:9">
      <c r="C52" s="18"/>
    </row>
    <row r="53" spans="1:9">
      <c r="C53" s="18"/>
      <c r="E53" s="19"/>
      <c r="H53" s="19"/>
    </row>
    <row r="54" spans="1:9">
      <c r="C54" s="18"/>
    </row>
    <row r="55" spans="1:9">
      <c r="C55" s="18"/>
    </row>
    <row r="56" spans="1:9">
      <c r="C56" s="18"/>
    </row>
    <row r="57" spans="1:9">
      <c r="C57" s="18"/>
    </row>
  </sheetData>
  <mergeCells count="3">
    <mergeCell ref="C38:C39"/>
    <mergeCell ref="C40:C41"/>
    <mergeCell ref="C42:C43"/>
  </mergeCells>
  <pageMargins left="0.43307086614173229" right="0.31496062992125984" top="0.35433070866141736" bottom="0.74803149606299213" header="0.31496062992125984" footer="0.31496062992125984"/>
  <pageSetup paperSize="9" scale="97" fitToHeight="0" orientation="portrait" r:id="rId1"/>
  <headerFooter>
    <oddFooter>&amp;L&amp;8&amp;F&amp;C&amp;8Page &amp;P of &amp;N&amp;R&amp;8Report Date: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757-7C2F-437E-ACDC-65376183881E}">
  <sheetPr>
    <pageSetUpPr fitToPage="1"/>
  </sheetPr>
  <dimension ref="A1:L62"/>
  <sheetViews>
    <sheetView view="pageBreakPreview" zoomScale="110" zoomScaleNormal="100" zoomScaleSheetLayoutView="110" workbookViewId="0">
      <selection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51.7109375" style="15" customWidth="1"/>
    <col min="4" max="4" width="11.5703125" style="17" customWidth="1"/>
    <col min="5" max="5" width="14.28515625" style="15" customWidth="1"/>
    <col min="6" max="6" width="10.7109375" style="15" customWidth="1"/>
    <col min="7" max="7" width="1.28515625" style="15" customWidth="1"/>
    <col min="8" max="8" width="12.28515625" style="89" customWidth="1"/>
    <col min="9" max="12" width="8.85546875" style="89"/>
    <col min="13" max="16384" width="8.85546875" style="13"/>
  </cols>
  <sheetData>
    <row r="1" spans="1:12" s="1" customFormat="1" ht="14.45">
      <c r="C1" s="2"/>
      <c r="D1" s="2"/>
      <c r="E1" s="2"/>
      <c r="F1" s="2"/>
      <c r="G1" s="2"/>
      <c r="H1" s="88"/>
      <c r="I1" s="88"/>
      <c r="J1" s="88"/>
      <c r="K1" s="88"/>
      <c r="L1" s="88"/>
    </row>
    <row r="2" spans="1:12" s="1" customFormat="1" ht="14.45">
      <c r="C2" s="2"/>
      <c r="D2" s="2"/>
      <c r="E2" s="3"/>
      <c r="F2" s="56" t="s">
        <v>0</v>
      </c>
      <c r="H2" s="88"/>
      <c r="I2" s="88"/>
      <c r="J2" s="88" t="s">
        <v>43</v>
      </c>
      <c r="K2" s="88">
        <v>181.8</v>
      </c>
      <c r="L2" s="88"/>
    </row>
    <row r="3" spans="1:12" s="1" customFormat="1" ht="14.45">
      <c r="B3" s="2"/>
      <c r="C3" s="2"/>
      <c r="D3" s="2"/>
      <c r="E3" s="3"/>
      <c r="F3" s="56" t="s">
        <v>1</v>
      </c>
      <c r="H3" s="88"/>
      <c r="I3" s="88"/>
      <c r="J3" s="88" t="s">
        <v>44</v>
      </c>
      <c r="K3" s="88">
        <v>33.299999999999997</v>
      </c>
      <c r="L3" s="88"/>
    </row>
    <row r="4" spans="1:12" s="1" customFormat="1" ht="14.45">
      <c r="B4" s="4"/>
      <c r="C4" s="4"/>
      <c r="D4" s="4"/>
      <c r="E4" s="5"/>
      <c r="F4" s="5"/>
      <c r="G4" s="5"/>
      <c r="H4" s="88"/>
      <c r="I4" s="88"/>
      <c r="J4" s="88" t="s">
        <v>5</v>
      </c>
      <c r="K4" s="88">
        <f>SUM(K2:K3)</f>
        <v>215.10000000000002</v>
      </c>
      <c r="L4" s="88"/>
    </row>
    <row r="5" spans="1:12" s="7" customFormat="1">
      <c r="B5" s="8" t="s">
        <v>2</v>
      </c>
      <c r="C5" s="9"/>
      <c r="D5" s="9"/>
      <c r="E5" s="10"/>
      <c r="F5" s="10"/>
      <c r="G5" s="10"/>
      <c r="H5" s="88"/>
      <c r="I5" s="88"/>
      <c r="J5" s="88"/>
      <c r="K5" s="88"/>
      <c r="L5" s="88"/>
    </row>
    <row r="6" spans="1:12" s="7" customFormat="1" ht="7.5" customHeight="1">
      <c r="A6" s="68"/>
      <c r="B6" s="68"/>
      <c r="C6" s="68"/>
      <c r="D6" s="68"/>
      <c r="E6" s="68"/>
      <c r="F6" s="68"/>
      <c r="G6" s="68"/>
      <c r="H6" s="88"/>
      <c r="I6" s="88"/>
      <c r="J6" s="88"/>
      <c r="K6" s="88"/>
      <c r="L6" s="88"/>
    </row>
    <row r="7" spans="1:12" customFormat="1" ht="16.5" customHeight="1">
      <c r="A7" s="22"/>
      <c r="B7" s="8" t="s">
        <v>45</v>
      </c>
      <c r="C7" s="29"/>
      <c r="D7" s="17"/>
      <c r="E7" s="65"/>
      <c r="F7" s="65"/>
      <c r="G7" s="65"/>
      <c r="H7" s="88"/>
      <c r="I7" s="89"/>
      <c r="J7" s="89"/>
      <c r="K7" s="89"/>
      <c r="L7" s="89"/>
    </row>
    <row r="8" spans="1:12" customFormat="1" ht="16.5" customHeight="1">
      <c r="A8" s="22"/>
      <c r="B8" s="8"/>
      <c r="C8" s="29"/>
      <c r="D8" s="44" t="s">
        <v>5</v>
      </c>
      <c r="E8" s="29">
        <v>215</v>
      </c>
      <c r="F8" s="29" t="s">
        <v>6</v>
      </c>
      <c r="G8" s="29"/>
      <c r="H8" s="88"/>
      <c r="I8" s="89"/>
      <c r="J8" s="89"/>
      <c r="K8" s="89"/>
      <c r="L8" s="89"/>
    </row>
    <row r="9" spans="1:12" customFormat="1" ht="8.4499999999999993" customHeight="1">
      <c r="A9" s="22"/>
      <c r="B9" s="24"/>
      <c r="C9" s="29"/>
      <c r="D9" s="44"/>
      <c r="E9" s="29"/>
      <c r="F9" s="29"/>
      <c r="G9" s="29"/>
      <c r="H9" s="88"/>
      <c r="I9" s="89"/>
      <c r="J9" s="89"/>
      <c r="K9" s="89"/>
      <c r="L9" s="89"/>
    </row>
    <row r="10" spans="1:12" customFormat="1" ht="15.6" customHeight="1">
      <c r="A10" s="22"/>
      <c r="B10" s="45" t="s">
        <v>7</v>
      </c>
      <c r="C10" s="46" t="s">
        <v>8</v>
      </c>
      <c r="D10" s="46"/>
      <c r="E10" s="47" t="s">
        <v>9</v>
      </c>
      <c r="F10" s="45" t="s">
        <v>10</v>
      </c>
      <c r="G10" s="29"/>
      <c r="H10" s="88"/>
      <c r="I10" s="89"/>
      <c r="J10" s="89"/>
      <c r="K10" s="89"/>
      <c r="L10" s="89"/>
    </row>
    <row r="11" spans="1:12" customFormat="1" ht="15" customHeight="1">
      <c r="A11" s="22"/>
      <c r="B11" s="48">
        <v>0.1</v>
      </c>
      <c r="C11" s="72" t="s">
        <v>46</v>
      </c>
      <c r="D11" s="37"/>
      <c r="E11" s="73">
        <f>'2.0.2.0_Facilitating Works'!G34</f>
        <v>46967</v>
      </c>
      <c r="F11" s="73">
        <f t="shared" ref="F11:F16" si="0">E11/$E$8</f>
        <v>218.45116279069768</v>
      </c>
      <c r="G11" s="29"/>
      <c r="H11" s="88"/>
      <c r="I11" s="89"/>
      <c r="J11" s="89"/>
      <c r="K11" s="89"/>
      <c r="L11" s="89"/>
    </row>
    <row r="12" spans="1:12" customFormat="1" ht="15" customHeight="1">
      <c r="A12" s="22"/>
      <c r="B12" s="48">
        <v>0.2</v>
      </c>
      <c r="C12" s="72" t="s">
        <v>47</v>
      </c>
      <c r="D12" s="37"/>
      <c r="E12" s="73">
        <f>'2.0.2.0_Facilitating Works'!G54</f>
        <v>18600</v>
      </c>
      <c r="F12" s="73">
        <f t="shared" si="0"/>
        <v>86.511627906976742</v>
      </c>
      <c r="G12" s="29"/>
      <c r="H12" s="89"/>
      <c r="I12" s="89"/>
      <c r="J12" s="89"/>
      <c r="K12" s="89"/>
      <c r="L12" s="89"/>
    </row>
    <row r="13" spans="1:12" customFormat="1" ht="15" customHeight="1">
      <c r="A13" s="22"/>
      <c r="B13" s="25">
        <v>0</v>
      </c>
      <c r="C13" s="26" t="s">
        <v>12</v>
      </c>
      <c r="D13" s="27"/>
      <c r="E13" s="28">
        <f>SUM(E11:E12)</f>
        <v>65567</v>
      </c>
      <c r="F13" s="28">
        <f t="shared" si="0"/>
        <v>304.96279069767439</v>
      </c>
      <c r="G13" s="29"/>
      <c r="H13" s="89"/>
      <c r="I13" s="89"/>
      <c r="J13" s="89"/>
      <c r="K13" s="89"/>
      <c r="L13" s="89"/>
    </row>
    <row r="14" spans="1:12" customFormat="1" ht="15" customHeight="1">
      <c r="A14" s="22"/>
      <c r="B14" s="48">
        <v>2.7</v>
      </c>
      <c r="C14" s="72" t="s">
        <v>48</v>
      </c>
      <c r="D14" s="37"/>
      <c r="E14" s="73">
        <f>'2.0.2.2_Superstructure'!G22</f>
        <v>42440</v>
      </c>
      <c r="F14" s="73">
        <f t="shared" si="0"/>
        <v>197.3953488372093</v>
      </c>
      <c r="G14" s="29"/>
      <c r="H14" s="89"/>
      <c r="I14" s="89"/>
      <c r="J14" s="89"/>
      <c r="K14" s="89"/>
      <c r="L14" s="89"/>
    </row>
    <row r="15" spans="1:12" customFormat="1" ht="15" customHeight="1">
      <c r="A15" s="22"/>
      <c r="B15" s="48">
        <v>2.8</v>
      </c>
      <c r="C15" s="72" t="s">
        <v>49</v>
      </c>
      <c r="D15" s="37"/>
      <c r="E15" s="73">
        <f>'2.0.2.2_Superstructure'!G34</f>
        <v>26250</v>
      </c>
      <c r="F15" s="73">
        <f t="shared" si="0"/>
        <v>122.09302325581395</v>
      </c>
      <c r="G15" s="29"/>
      <c r="H15" s="89"/>
      <c r="I15" s="89"/>
      <c r="J15" s="89"/>
      <c r="K15" s="89"/>
      <c r="L15" s="89"/>
    </row>
    <row r="16" spans="1:12" customFormat="1" ht="15" customHeight="1">
      <c r="A16" s="22"/>
      <c r="B16" s="25">
        <v>2</v>
      </c>
      <c r="C16" s="26" t="s">
        <v>13</v>
      </c>
      <c r="D16" s="27"/>
      <c r="E16" s="28">
        <f>SUM(E14:E15)</f>
        <v>68690</v>
      </c>
      <c r="F16" s="28">
        <f t="shared" si="0"/>
        <v>319.48837209302326</v>
      </c>
      <c r="G16" s="29"/>
      <c r="H16" s="89"/>
      <c r="I16" s="89"/>
      <c r="J16" s="89"/>
      <c r="K16" s="89"/>
      <c r="L16" s="89"/>
    </row>
    <row r="17" spans="1:12" customFormat="1" ht="15" customHeight="1">
      <c r="A17" s="22"/>
      <c r="B17" s="48">
        <v>3.1</v>
      </c>
      <c r="C17" s="72" t="s">
        <v>50</v>
      </c>
      <c r="D17" s="37"/>
      <c r="E17" s="73">
        <f>'2.0.2.3_Finishes'!G18</f>
        <v>9810</v>
      </c>
      <c r="F17" s="73">
        <f t="shared" ref="F17:F49" si="1">E17/$E$8</f>
        <v>45.627906976744185</v>
      </c>
      <c r="G17" s="29"/>
      <c r="H17" s="89"/>
      <c r="I17" s="89"/>
      <c r="J17" s="89"/>
      <c r="K17" s="89"/>
      <c r="L17" s="89"/>
    </row>
    <row r="18" spans="1:12" customFormat="1" ht="15" customHeight="1">
      <c r="A18" s="22"/>
      <c r="B18" s="48">
        <v>3.2</v>
      </c>
      <c r="C18" s="72" t="s">
        <v>51</v>
      </c>
      <c r="D18" s="37"/>
      <c r="E18" s="73">
        <f>'2.0.2.3_Finishes'!G28</f>
        <v>23631</v>
      </c>
      <c r="F18" s="73">
        <f t="shared" si="1"/>
        <v>109.91162790697675</v>
      </c>
      <c r="G18" s="29"/>
      <c r="H18" s="89"/>
      <c r="I18" s="89"/>
      <c r="J18" s="89"/>
      <c r="K18" s="89"/>
      <c r="L18" s="89"/>
    </row>
    <row r="19" spans="1:12" customFormat="1" ht="15" customHeight="1">
      <c r="A19" s="22"/>
      <c r="B19" s="48">
        <v>3.3</v>
      </c>
      <c r="C19" s="72" t="s">
        <v>52</v>
      </c>
      <c r="D19" s="37"/>
      <c r="E19" s="73">
        <f>'2.0.2.3_Finishes'!G38</f>
        <v>25457</v>
      </c>
      <c r="F19" s="73">
        <f t="shared" si="1"/>
        <v>118.4046511627907</v>
      </c>
      <c r="G19" s="29"/>
      <c r="H19" s="89"/>
      <c r="I19" s="89"/>
      <c r="J19" s="89"/>
      <c r="K19" s="89"/>
      <c r="L19" s="89"/>
    </row>
    <row r="20" spans="1:12" customFormat="1" ht="15" customHeight="1">
      <c r="A20" s="22"/>
      <c r="B20" s="25">
        <v>3</v>
      </c>
      <c r="C20" s="26" t="s">
        <v>14</v>
      </c>
      <c r="D20" s="27"/>
      <c r="E20" s="28">
        <f>SUM(E17:E19)</f>
        <v>58898</v>
      </c>
      <c r="F20" s="28">
        <f>E20/$E$8</f>
        <v>273.94418604651162</v>
      </c>
      <c r="G20" s="29"/>
      <c r="H20" s="89"/>
      <c r="I20" s="89"/>
      <c r="J20" s="89"/>
      <c r="K20" s="89"/>
      <c r="L20" s="89"/>
    </row>
    <row r="21" spans="1:12" customFormat="1" ht="15" customHeight="1">
      <c r="A21" s="22"/>
      <c r="B21" s="48">
        <v>4.0999999999999996</v>
      </c>
      <c r="C21" s="72" t="s">
        <v>53</v>
      </c>
      <c r="D21" s="37"/>
      <c r="E21" s="73">
        <f>'2.0.2.4_FF&amp;E'!G29</f>
        <v>765000</v>
      </c>
      <c r="F21" s="73">
        <f>E21/$E$8</f>
        <v>3558.1395348837209</v>
      </c>
      <c r="G21" s="29"/>
      <c r="H21" s="89"/>
      <c r="I21" s="89"/>
      <c r="J21" s="89"/>
      <c r="K21" s="89"/>
      <c r="L21" s="89"/>
    </row>
    <row r="22" spans="1:12" customFormat="1" ht="15" customHeight="1">
      <c r="A22" s="22"/>
      <c r="B22" s="25">
        <v>4</v>
      </c>
      <c r="C22" s="26" t="s">
        <v>15</v>
      </c>
      <c r="D22" s="27"/>
      <c r="E22" s="28">
        <f>SUM(E21)</f>
        <v>765000</v>
      </c>
      <c r="F22" s="28">
        <f>E22/$E$8</f>
        <v>3558.1395348837209</v>
      </c>
      <c r="G22" s="29"/>
      <c r="H22" s="89"/>
      <c r="I22" s="89"/>
      <c r="J22" s="89"/>
      <c r="K22" s="89"/>
      <c r="L22" s="89"/>
    </row>
    <row r="23" spans="1:12" customFormat="1" ht="15" customHeight="1">
      <c r="A23" s="22"/>
      <c r="B23" s="48">
        <v>5.3</v>
      </c>
      <c r="C23" s="72" t="s">
        <v>54</v>
      </c>
      <c r="D23" s="37"/>
      <c r="E23" s="73">
        <f>'2.0.2.5_Services'!G16</f>
        <v>3000</v>
      </c>
      <c r="F23" s="73">
        <f t="shared" si="1"/>
        <v>13.953488372093023</v>
      </c>
      <c r="G23" s="29"/>
      <c r="H23" s="89"/>
      <c r="I23" s="89"/>
      <c r="J23" s="89"/>
      <c r="K23" s="89"/>
      <c r="L23" s="89"/>
    </row>
    <row r="24" spans="1:12" customFormat="1" ht="15" customHeight="1">
      <c r="A24" s="22"/>
      <c r="B24" s="48">
        <v>5.4</v>
      </c>
      <c r="C24" s="72" t="s">
        <v>55</v>
      </c>
      <c r="D24" s="37"/>
      <c r="E24" s="73">
        <f>'2.0.2.5_Services'!G26</f>
        <v>38600</v>
      </c>
      <c r="F24" s="73">
        <f t="shared" si="1"/>
        <v>179.53488372093022</v>
      </c>
      <c r="G24" s="29"/>
      <c r="H24" s="89"/>
      <c r="I24" s="89"/>
      <c r="J24" s="89"/>
      <c r="K24" s="89"/>
      <c r="L24" s="89"/>
    </row>
    <row r="25" spans="1:12" customFormat="1" ht="15" customHeight="1">
      <c r="A25" s="22"/>
      <c r="B25" s="48">
        <v>5.6</v>
      </c>
      <c r="C25" s="72" t="s">
        <v>56</v>
      </c>
      <c r="D25" s="37"/>
      <c r="E25" s="73">
        <f>'2.0.2.5_Services'!G40</f>
        <v>217920</v>
      </c>
      <c r="F25" s="73">
        <f t="shared" si="1"/>
        <v>1013.5813953488372</v>
      </c>
      <c r="G25" s="29"/>
      <c r="H25" s="89"/>
      <c r="I25" s="89"/>
      <c r="J25" s="89"/>
      <c r="K25" s="89"/>
      <c r="L25" s="89"/>
    </row>
    <row r="26" spans="1:12" customFormat="1" ht="15" customHeight="1">
      <c r="A26" s="22"/>
      <c r="B26" s="48">
        <v>5.8</v>
      </c>
      <c r="C26" s="72" t="s">
        <v>57</v>
      </c>
      <c r="D26" s="37"/>
      <c r="E26" s="73">
        <f>'2.0.2.5_Services'!G50</f>
        <v>107380</v>
      </c>
      <c r="F26" s="73">
        <f t="shared" si="1"/>
        <v>499.44186046511629</v>
      </c>
      <c r="G26" s="29"/>
      <c r="H26" s="89"/>
      <c r="I26" s="89"/>
      <c r="J26" s="89"/>
      <c r="K26" s="89"/>
      <c r="L26" s="89"/>
    </row>
    <row r="27" spans="1:12" customFormat="1" ht="15" customHeight="1">
      <c r="A27" s="22"/>
      <c r="B27" s="48">
        <v>5.1100000000000003</v>
      </c>
      <c r="C27" s="72" t="s">
        <v>58</v>
      </c>
      <c r="D27" s="37"/>
      <c r="E27" s="73">
        <f>'2.0.2.5_Services'!G56</f>
        <v>30030</v>
      </c>
      <c r="F27" s="73">
        <f t="shared" si="1"/>
        <v>139.67441860465115</v>
      </c>
      <c r="G27" s="29"/>
      <c r="H27" s="89"/>
      <c r="I27" s="89"/>
      <c r="J27" s="89"/>
      <c r="K27" s="89"/>
      <c r="L27" s="89"/>
    </row>
    <row r="28" spans="1:12" customFormat="1" ht="15" customHeight="1">
      <c r="A28" s="22"/>
      <c r="B28" s="48">
        <v>5.12</v>
      </c>
      <c r="C28" s="72" t="s">
        <v>59</v>
      </c>
      <c r="D28" s="37"/>
      <c r="E28" s="73">
        <f>'2.0.2.5_Services'!G68</f>
        <v>51345</v>
      </c>
      <c r="F28" s="73">
        <f t="shared" si="1"/>
        <v>238.81395348837211</v>
      </c>
      <c r="G28" s="29"/>
      <c r="H28" s="89"/>
      <c r="I28" s="89"/>
      <c r="J28" s="89"/>
      <c r="K28" s="89"/>
      <c r="L28" s="89"/>
    </row>
    <row r="29" spans="1:12" customFormat="1" ht="15" customHeight="1">
      <c r="A29" s="22"/>
      <c r="B29" s="48">
        <v>5.13</v>
      </c>
      <c r="C29" s="72" t="s">
        <v>60</v>
      </c>
      <c r="D29" s="37"/>
      <c r="E29" s="73">
        <f>'2.0.2.5_Services'!G74</f>
        <v>63700</v>
      </c>
      <c r="F29" s="73">
        <f t="shared" si="1"/>
        <v>296.27906976744185</v>
      </c>
      <c r="G29" s="29"/>
      <c r="H29" s="89"/>
      <c r="I29" s="89"/>
      <c r="J29" s="89"/>
      <c r="K29" s="89"/>
      <c r="L29" s="89"/>
    </row>
    <row r="30" spans="1:12" customFormat="1" ht="15" customHeight="1">
      <c r="A30" s="22"/>
      <c r="B30" s="48">
        <v>5.14</v>
      </c>
      <c r="C30" s="72" t="s">
        <v>61</v>
      </c>
      <c r="D30" s="37"/>
      <c r="E30" s="73">
        <f>'2.0.2.5_Services'!G80</f>
        <v>25598.75</v>
      </c>
      <c r="F30" s="73">
        <f t="shared" si="1"/>
        <v>119.06395348837209</v>
      </c>
      <c r="G30" s="29"/>
      <c r="H30" s="89"/>
      <c r="I30" s="96"/>
      <c r="J30" s="96"/>
      <c r="K30" s="96"/>
      <c r="L30" s="96"/>
    </row>
    <row r="31" spans="1:12" customFormat="1" ht="15" customHeight="1">
      <c r="A31" s="22"/>
      <c r="B31" s="25">
        <v>5</v>
      </c>
      <c r="C31" s="26" t="s">
        <v>16</v>
      </c>
      <c r="D31" s="27"/>
      <c r="E31" s="28">
        <f>SUM(E23:E30)</f>
        <v>537573.75</v>
      </c>
      <c r="F31" s="28">
        <f>E31/$E$8</f>
        <v>2500.3430232558139</v>
      </c>
      <c r="G31" s="29"/>
      <c r="H31" s="89"/>
      <c r="I31" s="96"/>
      <c r="J31" s="96"/>
      <c r="K31" s="96"/>
      <c r="L31" s="96"/>
    </row>
    <row r="32" spans="1:12" customFormat="1" ht="15" customHeight="1">
      <c r="A32" s="22"/>
      <c r="B32" s="30"/>
      <c r="C32" s="31" t="s">
        <v>17</v>
      </c>
      <c r="D32" s="32"/>
      <c r="E32" s="33">
        <f>E13+E16+E20+E22+E31</f>
        <v>1495728.75</v>
      </c>
      <c r="F32" s="33">
        <f>E32/$E$8</f>
        <v>6956.8779069767443</v>
      </c>
      <c r="G32" s="29"/>
      <c r="H32" s="89"/>
      <c r="I32" s="96"/>
      <c r="J32" s="96"/>
      <c r="K32" s="96"/>
      <c r="L32" s="96"/>
    </row>
    <row r="33" spans="1:12" customFormat="1" ht="15" customHeight="1">
      <c r="A33" s="22"/>
      <c r="B33" s="48">
        <v>9.1</v>
      </c>
      <c r="C33" s="72" t="s">
        <v>62</v>
      </c>
      <c r="D33" s="37"/>
      <c r="E33" s="73">
        <f>'2.0.2.9 Prelims and Staff'!G18</f>
        <v>10500</v>
      </c>
      <c r="F33" s="73">
        <f t="shared" si="1"/>
        <v>48.837209302325583</v>
      </c>
      <c r="G33" s="29"/>
      <c r="H33" s="89"/>
      <c r="I33" s="96"/>
      <c r="J33" s="96"/>
      <c r="K33" s="96"/>
      <c r="L33" s="96"/>
    </row>
    <row r="34" spans="1:12" customFormat="1" ht="15" customHeight="1">
      <c r="A34" s="22"/>
      <c r="B34" s="48">
        <v>9.1999999999999993</v>
      </c>
      <c r="C34" s="72" t="s">
        <v>63</v>
      </c>
      <c r="D34" s="37"/>
      <c r="E34" s="73">
        <f>'2.0.2.9 Prelims and Staff'!G24</f>
        <v>21000</v>
      </c>
      <c r="F34" s="73">
        <f t="shared" si="1"/>
        <v>97.674418604651166</v>
      </c>
      <c r="G34" s="29"/>
      <c r="H34" s="89"/>
      <c r="I34" s="96"/>
      <c r="J34" s="96"/>
      <c r="K34" s="96"/>
      <c r="L34" s="96"/>
    </row>
    <row r="35" spans="1:12" customFormat="1" ht="14.45">
      <c r="B35" s="48">
        <v>9.3000000000000007</v>
      </c>
      <c r="C35" s="72" t="s">
        <v>64</v>
      </c>
      <c r="D35" s="37"/>
      <c r="E35" s="73">
        <f>'2.0.2.9 Prelims and Staff'!G38</f>
        <v>331000</v>
      </c>
      <c r="F35" s="73">
        <f t="shared" si="1"/>
        <v>1539.5348837209303</v>
      </c>
      <c r="H35" s="89"/>
      <c r="I35" s="97">
        <f>E35/E32</f>
        <v>0.22129680933123735</v>
      </c>
      <c r="J35" s="96"/>
      <c r="K35" s="96"/>
      <c r="L35" s="96"/>
    </row>
    <row r="36" spans="1:12">
      <c r="A36" s="13"/>
      <c r="B36" s="25">
        <v>9</v>
      </c>
      <c r="C36" s="26" t="s">
        <v>18</v>
      </c>
      <c r="D36" s="34"/>
      <c r="E36" s="28">
        <f>SUM(E33:E35)</f>
        <v>362500</v>
      </c>
      <c r="F36" s="28">
        <f>E36/$E$8</f>
        <v>1686.046511627907</v>
      </c>
      <c r="G36" s="13"/>
      <c r="I36" s="96"/>
      <c r="J36" s="96"/>
      <c r="K36" s="96"/>
      <c r="L36" s="96"/>
    </row>
    <row r="37" spans="1:12">
      <c r="A37" s="13"/>
      <c r="B37" s="25">
        <v>10</v>
      </c>
      <c r="C37" s="26" t="s">
        <v>19</v>
      </c>
      <c r="D37" s="34">
        <v>0.05</v>
      </c>
      <c r="E37" s="28">
        <f>(+E32+E36)*D37</f>
        <v>92911.4375</v>
      </c>
      <c r="F37" s="28">
        <f>E37/$E$8</f>
        <v>432.14622093023257</v>
      </c>
      <c r="G37" s="13"/>
      <c r="I37" s="96"/>
      <c r="J37" s="96"/>
      <c r="K37" s="96"/>
      <c r="L37" s="96"/>
    </row>
    <row r="38" spans="1:12">
      <c r="A38" s="13"/>
      <c r="B38" s="30"/>
      <c r="C38" s="31" t="s">
        <v>21</v>
      </c>
      <c r="D38" s="32"/>
      <c r="E38" s="33">
        <f>SUM(E32, E36:E37)</f>
        <v>1951140.1875</v>
      </c>
      <c r="F38" s="33">
        <f>E38/$E$8</f>
        <v>9075.0706395348843</v>
      </c>
      <c r="G38" s="13"/>
      <c r="I38" s="96"/>
      <c r="J38" s="96"/>
      <c r="K38" s="96"/>
      <c r="L38" s="96"/>
    </row>
    <row r="39" spans="1:12">
      <c r="A39" s="13"/>
      <c r="B39" s="25">
        <v>11</v>
      </c>
      <c r="C39" s="26" t="s">
        <v>22</v>
      </c>
      <c r="D39" s="35"/>
      <c r="E39" s="28">
        <f>'2.0.2.11 Professional Services'!G30</f>
        <v>141800</v>
      </c>
      <c r="F39" s="28">
        <f t="shared" si="1"/>
        <v>659.53488372093022</v>
      </c>
      <c r="G39" s="13"/>
      <c r="I39" s="97">
        <f>E39/E38</f>
        <v>7.2675454541115597E-2</v>
      </c>
      <c r="J39" s="96"/>
      <c r="K39" s="96"/>
      <c r="L39" s="96"/>
    </row>
    <row r="40" spans="1:12">
      <c r="B40" s="30"/>
      <c r="C40" s="31" t="s">
        <v>23</v>
      </c>
      <c r="D40" s="32"/>
      <c r="E40" s="33">
        <f>SUM(E38:E39)</f>
        <v>2092940.1875</v>
      </c>
      <c r="F40" s="33">
        <f t="shared" si="1"/>
        <v>9734.6055232558138</v>
      </c>
      <c r="I40" s="96"/>
      <c r="J40" s="96"/>
      <c r="K40" s="96"/>
      <c r="L40" s="96"/>
    </row>
    <row r="41" spans="1:12">
      <c r="A41" s="13"/>
      <c r="B41" s="25">
        <v>12</v>
      </c>
      <c r="C41" s="26" t="s">
        <v>65</v>
      </c>
      <c r="D41" s="35"/>
      <c r="E41" s="28">
        <f>'2.0.2.12 Client Equipment'!G18</f>
        <v>1975045</v>
      </c>
      <c r="F41" s="28">
        <f t="shared" ref="F41:F42" si="2">E41/$E$8</f>
        <v>9186.2558139534885</v>
      </c>
      <c r="G41" s="13"/>
      <c r="I41" s="97"/>
      <c r="J41" s="96"/>
      <c r="K41" s="96"/>
      <c r="L41" s="96"/>
    </row>
    <row r="42" spans="1:12">
      <c r="B42" s="30"/>
      <c r="C42" s="31" t="s">
        <v>23</v>
      </c>
      <c r="D42" s="32"/>
      <c r="E42" s="33">
        <f>SUM(E40:E41)</f>
        <v>4067985.1875</v>
      </c>
      <c r="F42" s="33">
        <f t="shared" si="2"/>
        <v>18920.861337209302</v>
      </c>
      <c r="I42" s="96"/>
      <c r="J42" s="96"/>
      <c r="K42" s="96"/>
      <c r="L42" s="96"/>
    </row>
    <row r="43" spans="1:12">
      <c r="B43" s="25">
        <v>13.1</v>
      </c>
      <c r="C43" s="26" t="s">
        <v>66</v>
      </c>
      <c r="D43" s="34"/>
      <c r="E43" s="28">
        <v>397875</v>
      </c>
      <c r="F43" s="28">
        <f>E43/$E$8</f>
        <v>1850.5813953488373</v>
      </c>
      <c r="I43" s="96"/>
      <c r="J43" s="96"/>
      <c r="K43" s="96"/>
      <c r="L43" s="96"/>
    </row>
    <row r="44" spans="1:12">
      <c r="B44" s="25">
        <v>13.2</v>
      </c>
      <c r="C44" s="26" t="s">
        <v>26</v>
      </c>
      <c r="D44" s="34"/>
      <c r="E44" s="105" t="s">
        <v>27</v>
      </c>
      <c r="F44" s="104"/>
      <c r="H44" s="96">
        <f>E43</f>
        <v>397875</v>
      </c>
      <c r="I44" s="97">
        <f>H44/E42</f>
        <v>9.7806403332681757E-2</v>
      </c>
      <c r="J44" s="96"/>
      <c r="K44" s="96"/>
      <c r="L44" s="96"/>
    </row>
    <row r="45" spans="1:12">
      <c r="B45" s="25"/>
      <c r="C45" s="26" t="s">
        <v>28</v>
      </c>
      <c r="D45" s="34"/>
      <c r="E45" s="28">
        <f>SUM(E43:E44)</f>
        <v>397875</v>
      </c>
      <c r="F45" s="28">
        <f t="shared" si="1"/>
        <v>1850.5813953488373</v>
      </c>
      <c r="I45" s="96"/>
      <c r="J45" s="96"/>
      <c r="K45" s="96"/>
      <c r="L45" s="96"/>
    </row>
    <row r="46" spans="1:12">
      <c r="B46" s="30"/>
      <c r="C46" s="31" t="s">
        <v>29</v>
      </c>
      <c r="D46" s="32"/>
      <c r="E46" s="33">
        <f>E42+E45</f>
        <v>4465860.1875</v>
      </c>
      <c r="F46" s="33">
        <f>E46/$E$8</f>
        <v>20771.442732558138</v>
      </c>
      <c r="I46" s="96"/>
      <c r="J46" s="96"/>
      <c r="K46" s="96"/>
      <c r="L46" s="96"/>
    </row>
    <row r="47" spans="1:12">
      <c r="B47" s="25">
        <v>14</v>
      </c>
      <c r="C47" s="26" t="s">
        <v>30</v>
      </c>
      <c r="D47" s="34">
        <v>2.1537593454648046E-2</v>
      </c>
      <c r="E47" s="69">
        <f>E46*D47</f>
        <v>96183.881143673294</v>
      </c>
      <c r="F47" s="28">
        <f t="shared" si="1"/>
        <v>447.36688904034088</v>
      </c>
      <c r="I47" s="96"/>
      <c r="J47" s="96"/>
      <c r="K47" s="96"/>
      <c r="L47" s="96"/>
    </row>
    <row r="48" spans="1:12">
      <c r="B48" s="30"/>
      <c r="C48" s="31" t="s">
        <v>31</v>
      </c>
      <c r="D48" s="32"/>
      <c r="E48" s="33">
        <f>SUM(E46:E47)</f>
        <v>4562044.0686436733</v>
      </c>
      <c r="F48" s="33">
        <f>E48/$E$8</f>
        <v>21218.809621598481</v>
      </c>
      <c r="I48" s="96"/>
      <c r="J48" s="96"/>
      <c r="K48" s="96"/>
      <c r="L48" s="96"/>
    </row>
    <row r="49" spans="2:12">
      <c r="B49" s="25">
        <v>15</v>
      </c>
      <c r="C49" s="26" t="s">
        <v>32</v>
      </c>
      <c r="D49" s="35" t="s">
        <v>33</v>
      </c>
      <c r="E49" s="28">
        <v>0</v>
      </c>
      <c r="F49" s="28">
        <f t="shared" si="1"/>
        <v>0</v>
      </c>
      <c r="I49" s="96"/>
      <c r="J49" s="96"/>
      <c r="K49" s="96"/>
      <c r="L49" s="96"/>
    </row>
    <row r="50" spans="2:12">
      <c r="B50" s="30"/>
      <c r="C50" s="31" t="s">
        <v>34</v>
      </c>
      <c r="D50" s="32"/>
      <c r="E50" s="33">
        <f>SUM(E48:E49)</f>
        <v>4562044.0686436733</v>
      </c>
      <c r="F50" s="33">
        <f>E50/$E$8</f>
        <v>21218.809621598481</v>
      </c>
      <c r="I50" s="96"/>
      <c r="J50" s="96"/>
      <c r="K50" s="96"/>
      <c r="L50" s="96"/>
    </row>
    <row r="51" spans="2:12">
      <c r="B51" s="24"/>
      <c r="C51" s="63"/>
      <c r="D51" s="50"/>
      <c r="E51" s="64"/>
      <c r="F51" s="64"/>
    </row>
    <row r="52" spans="2:12">
      <c r="B52" s="24"/>
      <c r="C52" s="63"/>
      <c r="D52" s="50"/>
      <c r="E52" s="64"/>
      <c r="F52" s="64"/>
    </row>
    <row r="53" spans="2:12">
      <c r="B53" s="24"/>
      <c r="C53" s="63"/>
      <c r="D53" s="50"/>
      <c r="E53" s="64"/>
      <c r="F53" s="64"/>
    </row>
    <row r="54" spans="2:12">
      <c r="B54" s="24"/>
      <c r="C54" s="63"/>
      <c r="D54" s="50"/>
      <c r="E54" s="64"/>
      <c r="F54" s="64"/>
    </row>
    <row r="55" spans="2:12">
      <c r="B55" s="24"/>
      <c r="C55" s="63"/>
      <c r="D55" s="50"/>
      <c r="E55" s="64"/>
      <c r="F55" s="64"/>
    </row>
    <row r="56" spans="2:12">
      <c r="B56" s="24"/>
      <c r="C56" s="63"/>
      <c r="D56" s="50"/>
      <c r="E56" s="64"/>
      <c r="F56" s="64"/>
    </row>
    <row r="57" spans="2:12">
      <c r="B57"/>
      <c r="C57"/>
      <c r="D57"/>
      <c r="E57" s="64"/>
      <c r="F57"/>
    </row>
    <row r="58" spans="2:12">
      <c r="B58" s="13"/>
      <c r="C58" s="13"/>
      <c r="D58" s="13"/>
      <c r="E58" s="64"/>
      <c r="F58" s="13"/>
    </row>
    <row r="59" spans="2:12">
      <c r="E59" s="64"/>
    </row>
    <row r="60" spans="2:12">
      <c r="E60" s="64"/>
    </row>
    <row r="61" spans="2:12">
      <c r="E61" s="64"/>
    </row>
    <row r="62" spans="2:12">
      <c r="E62" s="64"/>
    </row>
  </sheetData>
  <phoneticPr fontId="19" type="noConversion"/>
  <pageMargins left="0.43307086614173229" right="0.31496062992125984" top="0.35433070866141736" bottom="0.74803149606299213" header="0.31496062992125984" footer="0.31496062992125984"/>
  <pageSetup paperSize="9" scale="97" fitToHeight="0" orientation="portrait" r:id="rId1"/>
  <headerFooter>
    <oddFooter>&amp;L&amp;8&amp;F&amp;C&amp;8Page &amp;P of &amp;N&amp;R&amp;8Report Date: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228E-5B80-4792-92A1-919DD02DFD55}">
  <sheetPr>
    <pageSetUpPr fitToPage="1"/>
  </sheetPr>
  <dimension ref="A1:J64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94" customWidth="1"/>
    <col min="10" max="10" width="5.85546875" style="13" customWidth="1"/>
    <col min="11" max="16384" width="8.85546875" style="13"/>
  </cols>
  <sheetData>
    <row r="1" spans="1:10" s="1" customFormat="1" ht="14.45">
      <c r="C1" s="51"/>
      <c r="D1" s="2"/>
      <c r="E1" s="2"/>
      <c r="F1" s="2"/>
      <c r="G1" s="2"/>
      <c r="H1" s="3"/>
      <c r="I1" s="2"/>
      <c r="J1" s="2"/>
    </row>
    <row r="2" spans="1:10" s="1" customFormat="1" ht="14.45">
      <c r="C2" s="51"/>
      <c r="D2" s="3"/>
      <c r="E2" s="2"/>
      <c r="G2" s="56" t="s">
        <v>0</v>
      </c>
      <c r="I2" s="2"/>
      <c r="J2" s="2"/>
    </row>
    <row r="3" spans="1:10" s="1" customFormat="1" ht="14.45">
      <c r="B3" s="2"/>
      <c r="C3" s="51"/>
      <c r="D3" s="3"/>
      <c r="E3" s="2"/>
      <c r="G3" s="56" t="s">
        <v>1</v>
      </c>
      <c r="I3" s="2"/>
      <c r="J3" s="2"/>
    </row>
    <row r="4" spans="1:10" s="1" customFormat="1" ht="14.45">
      <c r="B4" s="4"/>
      <c r="C4" s="52"/>
      <c r="D4" s="5"/>
      <c r="E4" s="5"/>
      <c r="F4" s="5"/>
      <c r="G4" s="5"/>
      <c r="I4" s="92"/>
      <c r="J4" s="6"/>
    </row>
    <row r="5" spans="1:10" s="7" customFormat="1">
      <c r="B5" s="8" t="s">
        <v>67</v>
      </c>
      <c r="C5" s="53"/>
      <c r="D5" s="10"/>
      <c r="E5" s="10"/>
      <c r="F5" s="10"/>
      <c r="G5" s="10"/>
      <c r="H5" s="10"/>
      <c r="I5" s="92"/>
      <c r="J5" s="6"/>
    </row>
    <row r="6" spans="1:10" s="7" customFormat="1" ht="7.5" customHeight="1">
      <c r="A6" s="68"/>
      <c r="B6" s="68"/>
      <c r="C6" s="126"/>
      <c r="D6" s="68"/>
      <c r="E6" s="68"/>
      <c r="F6" s="68"/>
      <c r="G6" s="68"/>
      <c r="H6" s="68"/>
      <c r="I6" s="92"/>
      <c r="J6" s="6"/>
    </row>
    <row r="7" spans="1:10" ht="7.15" customHeight="1">
      <c r="I7" s="92"/>
      <c r="J7" s="6"/>
    </row>
    <row r="8" spans="1:10" customFormat="1" ht="15" customHeight="1">
      <c r="A8" s="22"/>
      <c r="B8" s="49"/>
      <c r="D8" s="50"/>
      <c r="E8" s="50"/>
      <c r="F8" s="50"/>
      <c r="G8" s="17"/>
      <c r="H8" s="29"/>
      <c r="I8" s="92"/>
      <c r="J8" s="6"/>
    </row>
    <row r="9" spans="1:10" customFormat="1" ht="15" customHeight="1">
      <c r="A9" s="22"/>
      <c r="B9" s="24"/>
      <c r="C9" s="54"/>
      <c r="D9" s="127"/>
      <c r="E9" s="127"/>
      <c r="F9" s="127"/>
      <c r="G9" s="127"/>
      <c r="H9" s="29"/>
      <c r="I9" s="92"/>
      <c r="J9" s="6"/>
    </row>
    <row r="10" spans="1:1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92"/>
      <c r="J10" s="6"/>
    </row>
    <row r="11" spans="1:10" customFormat="1" ht="14.45">
      <c r="A11" s="22"/>
      <c r="B11" s="48"/>
      <c r="C11" s="37"/>
      <c r="D11" s="37"/>
      <c r="E11" s="37"/>
      <c r="F11" s="59"/>
      <c r="G11" s="59"/>
      <c r="H11" s="29"/>
      <c r="I11" s="92"/>
      <c r="J11" s="6"/>
    </row>
    <row r="12" spans="1:10" customFormat="1" ht="14.45">
      <c r="A12" s="22"/>
      <c r="B12" s="87">
        <v>1</v>
      </c>
      <c r="C12" s="46" t="s">
        <v>46</v>
      </c>
      <c r="D12" s="37"/>
      <c r="E12" s="37"/>
      <c r="F12" s="59"/>
      <c r="G12" s="59"/>
      <c r="H12" s="29"/>
      <c r="I12" s="92"/>
      <c r="J12" s="6"/>
    </row>
    <row r="13" spans="1:10" customFormat="1" ht="14.45">
      <c r="A13" s="22"/>
      <c r="B13" s="48"/>
      <c r="C13" s="75"/>
      <c r="D13" s="37"/>
      <c r="E13" s="37"/>
      <c r="F13" s="59"/>
      <c r="G13" s="59"/>
      <c r="H13" s="29"/>
      <c r="I13" s="92"/>
      <c r="J13" s="6"/>
    </row>
    <row r="14" spans="1:10" customFormat="1" ht="28.9">
      <c r="A14" s="22"/>
      <c r="B14" s="48"/>
      <c r="C14" s="37" t="s">
        <v>73</v>
      </c>
      <c r="D14" s="37">
        <v>1</v>
      </c>
      <c r="E14" s="37" t="s">
        <v>74</v>
      </c>
      <c r="F14" s="59">
        <v>350</v>
      </c>
      <c r="G14" s="59">
        <f>D14*F14</f>
        <v>350</v>
      </c>
      <c r="H14" s="29"/>
      <c r="I14" s="92"/>
      <c r="J14" s="6"/>
    </row>
    <row r="15" spans="1:10" customFormat="1" ht="14.45">
      <c r="A15" s="22"/>
      <c r="B15" s="48"/>
      <c r="C15" s="75"/>
      <c r="D15" s="37"/>
      <c r="E15" s="37"/>
      <c r="F15" s="59"/>
      <c r="G15" s="59"/>
      <c r="H15" s="29"/>
      <c r="I15" s="92"/>
      <c r="J15" s="6"/>
    </row>
    <row r="16" spans="1:10" customFormat="1" ht="14.45">
      <c r="A16" s="22"/>
      <c r="B16" s="48"/>
      <c r="C16" s="37" t="s">
        <v>75</v>
      </c>
      <c r="D16" s="37">
        <v>1</v>
      </c>
      <c r="E16" s="37" t="s">
        <v>74</v>
      </c>
      <c r="F16" s="59">
        <v>7000</v>
      </c>
      <c r="G16" s="59">
        <f>D16*F16</f>
        <v>7000</v>
      </c>
      <c r="H16" s="29"/>
      <c r="I16" s="92"/>
      <c r="J16" s="6"/>
    </row>
    <row r="17" spans="1:10" customFormat="1" ht="14.45">
      <c r="A17" s="22"/>
      <c r="B17" s="48"/>
      <c r="C17" s="75"/>
      <c r="D17" s="37"/>
      <c r="E17" s="37"/>
      <c r="F17" s="59"/>
      <c r="G17" s="59"/>
      <c r="H17" s="29"/>
      <c r="I17" s="92"/>
      <c r="J17" s="6"/>
    </row>
    <row r="18" spans="1:10" customFormat="1" ht="14.45">
      <c r="A18" s="22"/>
      <c r="B18" s="48"/>
      <c r="C18" s="37" t="s">
        <v>76</v>
      </c>
      <c r="D18" s="37">
        <v>180</v>
      </c>
      <c r="E18" s="37" t="s">
        <v>6</v>
      </c>
      <c r="F18" s="59">
        <v>24</v>
      </c>
      <c r="G18" s="59">
        <f>D18*F18</f>
        <v>4320</v>
      </c>
      <c r="H18" s="29"/>
      <c r="I18" s="92"/>
      <c r="J18" s="6"/>
    </row>
    <row r="19" spans="1:10" customFormat="1" ht="14.45">
      <c r="A19" s="22"/>
      <c r="B19" s="48"/>
      <c r="C19" s="37"/>
      <c r="D19" s="37"/>
      <c r="E19" s="37"/>
      <c r="F19" s="59"/>
      <c r="G19" s="59"/>
      <c r="H19" s="29"/>
      <c r="I19" s="92"/>
      <c r="J19" s="6"/>
    </row>
    <row r="20" spans="1:10" customFormat="1" ht="14.45">
      <c r="A20" s="22"/>
      <c r="B20" s="48"/>
      <c r="C20" s="37" t="s">
        <v>77</v>
      </c>
      <c r="D20" s="37">
        <v>27</v>
      </c>
      <c r="E20" s="37" t="s">
        <v>6</v>
      </c>
      <c r="F20" s="59">
        <v>11</v>
      </c>
      <c r="G20" s="59">
        <f>D20*F20</f>
        <v>297</v>
      </c>
      <c r="H20" s="29"/>
      <c r="I20" s="92"/>
      <c r="J20" s="6"/>
    </row>
    <row r="21" spans="1:10" customFormat="1" ht="14.45">
      <c r="A21" s="22"/>
      <c r="B21" s="48"/>
      <c r="C21" s="37"/>
      <c r="D21" s="37"/>
      <c r="E21" s="37"/>
      <c r="F21" s="59"/>
      <c r="G21" s="59"/>
      <c r="H21" s="29"/>
      <c r="I21" s="92"/>
      <c r="J21" s="6"/>
    </row>
    <row r="22" spans="1:10" customFormat="1" ht="28.9">
      <c r="A22" s="22"/>
      <c r="B22" s="48"/>
      <c r="C22" s="37" t="s">
        <v>78</v>
      </c>
      <c r="D22" s="37">
        <v>1</v>
      </c>
      <c r="E22" s="37" t="s">
        <v>74</v>
      </c>
      <c r="F22" s="59">
        <v>350</v>
      </c>
      <c r="G22" s="59">
        <f>D22*F22</f>
        <v>350</v>
      </c>
      <c r="H22" s="29"/>
      <c r="I22" s="92"/>
      <c r="J22" s="6"/>
    </row>
    <row r="23" spans="1:10" customFormat="1" ht="14.45">
      <c r="A23" s="22"/>
      <c r="B23" s="48"/>
      <c r="C23" s="37"/>
      <c r="D23" s="37"/>
      <c r="E23" s="37"/>
      <c r="F23" s="59"/>
      <c r="G23" s="59"/>
      <c r="H23" s="29"/>
      <c r="I23" s="92"/>
      <c r="J23" s="6"/>
    </row>
    <row r="24" spans="1:10" customFormat="1" ht="28.9">
      <c r="A24" s="22"/>
      <c r="B24" s="48"/>
      <c r="C24" s="37" t="s">
        <v>79</v>
      </c>
      <c r="D24" s="37">
        <v>1</v>
      </c>
      <c r="E24" s="37" t="s">
        <v>74</v>
      </c>
      <c r="F24" s="59">
        <v>4500</v>
      </c>
      <c r="G24" s="59">
        <f>D24*F24</f>
        <v>4500</v>
      </c>
      <c r="H24" s="29"/>
      <c r="I24" s="92"/>
      <c r="J24" s="6"/>
    </row>
    <row r="25" spans="1:10" customFormat="1" ht="14.45">
      <c r="A25" s="22"/>
      <c r="B25" s="48"/>
      <c r="C25" s="37"/>
      <c r="D25" s="37"/>
      <c r="E25" s="37"/>
      <c r="F25" s="59"/>
      <c r="G25" s="59"/>
      <c r="H25" s="29"/>
      <c r="I25" s="92"/>
      <c r="J25" s="6"/>
    </row>
    <row r="26" spans="1:10" customFormat="1" ht="15" customHeight="1">
      <c r="A26" s="22"/>
      <c r="B26" s="48"/>
      <c r="C26" s="37" t="s">
        <v>80</v>
      </c>
      <c r="D26" s="37">
        <v>2</v>
      </c>
      <c r="E26" s="37" t="s">
        <v>81</v>
      </c>
      <c r="F26" s="59">
        <v>4500</v>
      </c>
      <c r="G26" s="59">
        <f>D26*F26</f>
        <v>9000</v>
      </c>
      <c r="H26" s="29"/>
      <c r="I26" s="92"/>
      <c r="J26" s="6"/>
    </row>
    <row r="27" spans="1:10" customFormat="1" ht="14.45">
      <c r="A27" s="22"/>
      <c r="B27" s="48"/>
      <c r="C27" s="37"/>
      <c r="D27" s="37"/>
      <c r="E27" s="37"/>
      <c r="F27" s="59"/>
      <c r="G27" s="59"/>
      <c r="H27" s="29"/>
      <c r="I27" s="92"/>
      <c r="J27" s="6"/>
    </row>
    <row r="28" spans="1:10" customFormat="1" ht="15" customHeight="1">
      <c r="A28" s="22"/>
      <c r="B28" s="48"/>
      <c r="C28" s="37" t="s">
        <v>82</v>
      </c>
      <c r="D28" s="37">
        <v>2</v>
      </c>
      <c r="E28" s="37" t="s">
        <v>81</v>
      </c>
      <c r="F28" s="59">
        <v>9000</v>
      </c>
      <c r="G28" s="59">
        <f>D28*F28</f>
        <v>18000</v>
      </c>
      <c r="H28" s="29"/>
      <c r="I28" s="92"/>
      <c r="J28" s="6"/>
    </row>
    <row r="29" spans="1:10" customFormat="1" ht="14.45">
      <c r="A29" s="22"/>
      <c r="B29" s="48"/>
      <c r="C29" s="37"/>
      <c r="D29" s="37"/>
      <c r="E29" s="37"/>
      <c r="F29" s="59"/>
      <c r="G29" s="59"/>
      <c r="H29" s="29"/>
      <c r="I29" s="92"/>
      <c r="J29" s="6"/>
    </row>
    <row r="30" spans="1:10" customFormat="1" ht="28.9">
      <c r="A30" s="22"/>
      <c r="B30" s="48"/>
      <c r="C30" s="37" t="s">
        <v>83</v>
      </c>
      <c r="D30" s="37">
        <v>2</v>
      </c>
      <c r="E30" s="37" t="s">
        <v>81</v>
      </c>
      <c r="F30" s="59">
        <v>1200</v>
      </c>
      <c r="G30" s="59">
        <f>D30*F30</f>
        <v>2400</v>
      </c>
      <c r="H30" s="29"/>
      <c r="I30" s="92"/>
      <c r="J30" s="6"/>
    </row>
    <row r="31" spans="1:10" customFormat="1" ht="14.45">
      <c r="A31" s="22"/>
      <c r="B31" s="48"/>
      <c r="C31" s="37"/>
      <c r="D31" s="37"/>
      <c r="E31" s="37"/>
      <c r="F31" s="59"/>
      <c r="G31" s="59"/>
      <c r="H31" s="29"/>
      <c r="I31" s="92"/>
      <c r="J31" s="6"/>
    </row>
    <row r="32" spans="1:10" customFormat="1" ht="28.9">
      <c r="A32" s="22"/>
      <c r="B32" s="48"/>
      <c r="C32" s="37" t="s">
        <v>84</v>
      </c>
      <c r="D32" s="37">
        <v>1</v>
      </c>
      <c r="E32" s="37" t="s">
        <v>74</v>
      </c>
      <c r="F32" s="59">
        <v>750</v>
      </c>
      <c r="G32" s="59">
        <f>D32*F32</f>
        <v>750</v>
      </c>
      <c r="H32" s="29"/>
      <c r="I32" s="92"/>
      <c r="J32" s="6"/>
    </row>
    <row r="33" spans="1:10" customFormat="1" ht="14.45">
      <c r="A33" s="22"/>
      <c r="B33" s="48"/>
      <c r="C33" s="76"/>
      <c r="D33" s="80"/>
      <c r="E33" s="77"/>
      <c r="F33" s="78"/>
      <c r="G33" s="79"/>
      <c r="H33" s="29"/>
      <c r="I33" s="92"/>
      <c r="J33" s="6"/>
    </row>
    <row r="34" spans="1:10" customFormat="1" ht="14.45">
      <c r="A34" s="22"/>
      <c r="B34" s="25"/>
      <c r="C34" s="85"/>
      <c r="D34" s="81"/>
      <c r="E34" s="81"/>
      <c r="F34" s="86" t="s">
        <v>85</v>
      </c>
      <c r="G34" s="60">
        <f>SUM(G14:G32)</f>
        <v>46967</v>
      </c>
      <c r="H34" s="29"/>
      <c r="I34" s="92"/>
      <c r="J34" s="6"/>
    </row>
    <row r="35" spans="1:10" customFormat="1" ht="14.45">
      <c r="A35" s="22"/>
      <c r="B35" s="48"/>
      <c r="C35" s="76"/>
      <c r="D35" s="80"/>
      <c r="E35" s="77"/>
      <c r="F35" s="78"/>
      <c r="G35" s="79"/>
      <c r="H35" s="29"/>
      <c r="I35" s="92"/>
      <c r="J35" s="6"/>
    </row>
    <row r="36" spans="1:10" customFormat="1" ht="14.45">
      <c r="A36" s="22"/>
      <c r="B36" s="45">
        <v>2</v>
      </c>
      <c r="C36" s="55" t="s">
        <v>47</v>
      </c>
      <c r="D36" s="37"/>
      <c r="E36" s="37"/>
      <c r="F36" s="59"/>
      <c r="G36" s="59"/>
      <c r="H36" s="29"/>
      <c r="I36" s="92"/>
      <c r="J36" s="6"/>
    </row>
    <row r="37" spans="1:10" customFormat="1" ht="14.45">
      <c r="A37" s="22"/>
      <c r="B37" s="48"/>
      <c r="C37" s="75"/>
      <c r="D37" s="37"/>
      <c r="E37" s="37"/>
      <c r="F37" s="59"/>
      <c r="G37" s="59"/>
      <c r="H37" s="29"/>
      <c r="I37" s="92"/>
      <c r="J37" s="6"/>
    </row>
    <row r="38" spans="1:10" customFormat="1" ht="14.45">
      <c r="A38" s="22"/>
      <c r="B38" s="48"/>
      <c r="C38" s="37" t="s">
        <v>86</v>
      </c>
      <c r="D38" s="37">
        <v>1</v>
      </c>
      <c r="E38" s="37" t="s">
        <v>74</v>
      </c>
      <c r="F38" s="59">
        <v>6000</v>
      </c>
      <c r="G38" s="59">
        <f>D38*F38</f>
        <v>6000</v>
      </c>
      <c r="H38" s="29"/>
      <c r="I38" s="92"/>
      <c r="J38" s="6"/>
    </row>
    <row r="39" spans="1:10" customFormat="1" ht="14.45">
      <c r="A39" s="22"/>
      <c r="B39" s="48"/>
      <c r="C39" s="37"/>
      <c r="D39" s="37"/>
      <c r="E39" s="37"/>
      <c r="F39" s="59"/>
      <c r="G39" s="59"/>
      <c r="H39" s="29"/>
      <c r="I39" s="92"/>
      <c r="J39" s="6"/>
    </row>
    <row r="40" spans="1:10" customFormat="1" ht="14.45">
      <c r="A40" s="22"/>
      <c r="B40" s="48"/>
      <c r="C40" s="37" t="s">
        <v>87</v>
      </c>
      <c r="D40" s="37">
        <v>1</v>
      </c>
      <c r="E40" s="37" t="s">
        <v>74</v>
      </c>
      <c r="F40" s="59">
        <v>4000</v>
      </c>
      <c r="G40" s="59">
        <f>D40*F40</f>
        <v>4000</v>
      </c>
      <c r="H40" s="29"/>
      <c r="I40" s="92"/>
      <c r="J40" s="6"/>
    </row>
    <row r="41" spans="1:10" customFormat="1" ht="14.45">
      <c r="A41" s="22"/>
      <c r="B41" s="48"/>
      <c r="C41" s="37"/>
      <c r="D41" s="37"/>
      <c r="E41" s="37"/>
      <c r="F41" s="59"/>
      <c r="G41" s="59"/>
      <c r="H41" s="29"/>
      <c r="I41" s="92"/>
      <c r="J41" s="6"/>
    </row>
    <row r="42" spans="1:10" customFormat="1" ht="28.9">
      <c r="A42" s="22"/>
      <c r="B42" s="48"/>
      <c r="C42" s="37" t="s">
        <v>88</v>
      </c>
      <c r="D42" s="37">
        <v>1</v>
      </c>
      <c r="E42" s="37" t="s">
        <v>74</v>
      </c>
      <c r="F42" s="59">
        <v>3000</v>
      </c>
      <c r="G42" s="59">
        <f>D42*F42</f>
        <v>3000</v>
      </c>
      <c r="H42" s="29"/>
      <c r="I42" s="92"/>
      <c r="J42" s="6"/>
    </row>
    <row r="43" spans="1:10" customFormat="1" ht="14.45">
      <c r="A43" s="22"/>
      <c r="B43" s="48"/>
      <c r="C43" s="37"/>
      <c r="D43" s="37"/>
      <c r="E43" s="37"/>
      <c r="F43" s="59"/>
      <c r="G43" s="59"/>
      <c r="H43" s="29"/>
      <c r="I43" s="92"/>
      <c r="J43" s="6"/>
    </row>
    <row r="44" spans="1:10" customFormat="1" ht="14.45">
      <c r="A44" s="22"/>
      <c r="B44" s="48"/>
      <c r="C44" s="37" t="s">
        <v>89</v>
      </c>
      <c r="D44" s="37">
        <v>1</v>
      </c>
      <c r="E44" s="37" t="s">
        <v>74</v>
      </c>
      <c r="F44" s="59">
        <v>800</v>
      </c>
      <c r="G44" s="59">
        <f>D44*F44</f>
        <v>800</v>
      </c>
      <c r="H44" s="29"/>
      <c r="I44" s="92"/>
      <c r="J44" s="6"/>
    </row>
    <row r="45" spans="1:10" customFormat="1" ht="14.45">
      <c r="A45" s="22"/>
      <c r="B45" s="48"/>
      <c r="C45" s="37"/>
      <c r="D45" s="37"/>
      <c r="E45" s="37"/>
      <c r="F45" s="59"/>
      <c r="G45" s="59"/>
      <c r="H45" s="29"/>
      <c r="I45" s="92"/>
      <c r="J45" s="6"/>
    </row>
    <row r="46" spans="1:10" customFormat="1" ht="14.45">
      <c r="A46" s="22"/>
      <c r="B46" s="48"/>
      <c r="C46" s="37" t="s">
        <v>90</v>
      </c>
      <c r="D46" s="37">
        <v>1</v>
      </c>
      <c r="E46" s="37" t="s">
        <v>74</v>
      </c>
      <c r="F46" s="59">
        <v>1600</v>
      </c>
      <c r="G46" s="59">
        <f>D46*F46</f>
        <v>1600</v>
      </c>
      <c r="H46" s="29"/>
      <c r="I46" s="92"/>
      <c r="J46" s="6"/>
    </row>
    <row r="47" spans="1:10" customFormat="1" ht="14.45">
      <c r="A47" s="22"/>
      <c r="B47" s="48"/>
      <c r="C47" s="37"/>
      <c r="D47" s="37"/>
      <c r="E47" s="37"/>
      <c r="F47" s="59"/>
      <c r="G47" s="59"/>
      <c r="H47" s="29"/>
      <c r="I47" s="92"/>
      <c r="J47" s="6"/>
    </row>
    <row r="48" spans="1:10" customFormat="1" ht="28.9">
      <c r="A48" s="22"/>
      <c r="B48" s="48"/>
      <c r="C48" s="37" t="s">
        <v>91</v>
      </c>
      <c r="D48" s="37">
        <v>1</v>
      </c>
      <c r="E48" s="37" t="s">
        <v>74</v>
      </c>
      <c r="F48" s="59">
        <v>600</v>
      </c>
      <c r="G48" s="59">
        <f>D48*F48</f>
        <v>600</v>
      </c>
      <c r="H48" s="29"/>
      <c r="I48" s="92"/>
      <c r="J48" s="6"/>
    </row>
    <row r="49" spans="1:10" customFormat="1" ht="14.45">
      <c r="A49" s="22"/>
      <c r="B49" s="48"/>
      <c r="C49" s="37"/>
      <c r="D49" s="37"/>
      <c r="E49" s="37"/>
      <c r="F49" s="59"/>
      <c r="G49" s="59"/>
      <c r="H49" s="29"/>
      <c r="I49" s="92"/>
      <c r="J49" s="6"/>
    </row>
    <row r="50" spans="1:10" customFormat="1" ht="28.9">
      <c r="A50" s="22"/>
      <c r="B50" s="48"/>
      <c r="C50" s="37" t="s">
        <v>92</v>
      </c>
      <c r="D50" s="37">
        <v>1</v>
      </c>
      <c r="E50" s="37" t="s">
        <v>74</v>
      </c>
      <c r="F50" s="59">
        <v>600</v>
      </c>
      <c r="G50" s="59">
        <f>D50*F50</f>
        <v>600</v>
      </c>
      <c r="H50" s="29"/>
      <c r="I50" s="92"/>
      <c r="J50" s="6"/>
    </row>
    <row r="51" spans="1:10" customFormat="1" ht="14.45">
      <c r="A51" s="22"/>
      <c r="B51" s="48"/>
      <c r="C51" s="37"/>
      <c r="D51" s="37"/>
      <c r="E51" s="37"/>
      <c r="F51" s="59"/>
      <c r="G51" s="59"/>
      <c r="H51" s="29"/>
      <c r="I51" s="92"/>
      <c r="J51" s="6"/>
    </row>
    <row r="52" spans="1:10" customFormat="1" ht="14.45">
      <c r="A52" s="22"/>
      <c r="B52" s="48"/>
      <c r="C52" s="37" t="s">
        <v>93</v>
      </c>
      <c r="D52" s="37">
        <v>1</v>
      </c>
      <c r="E52" s="37" t="s">
        <v>74</v>
      </c>
      <c r="F52" s="59">
        <v>2000</v>
      </c>
      <c r="G52" s="59">
        <f>D52*F52</f>
        <v>2000</v>
      </c>
      <c r="H52" s="29"/>
      <c r="I52" s="92"/>
      <c r="J52" s="6"/>
    </row>
    <row r="53" spans="1:10" customFormat="1" ht="14.45">
      <c r="A53" s="22"/>
      <c r="B53" s="48"/>
      <c r="C53" s="118"/>
      <c r="D53" s="119"/>
      <c r="E53" s="119"/>
      <c r="F53" s="120"/>
      <c r="G53" s="59"/>
      <c r="H53" s="29"/>
      <c r="I53" s="92"/>
      <c r="J53" s="6"/>
    </row>
    <row r="54" spans="1:10" customFormat="1" ht="15" customHeight="1">
      <c r="A54" s="22"/>
      <c r="B54" s="25"/>
      <c r="C54" s="85"/>
      <c r="D54" s="81"/>
      <c r="E54" s="81"/>
      <c r="F54" s="86" t="s">
        <v>85</v>
      </c>
      <c r="G54" s="60">
        <f>SUM(G38:G52)</f>
        <v>18600</v>
      </c>
      <c r="H54" s="29"/>
      <c r="I54" s="93"/>
    </row>
    <row r="55" spans="1:10" customFormat="1" ht="15" customHeight="1">
      <c r="A55" s="22"/>
      <c r="B55" s="30"/>
      <c r="C55" s="82"/>
      <c r="D55" s="83"/>
      <c r="E55" s="83"/>
      <c r="F55" s="84"/>
      <c r="G55" s="61"/>
      <c r="H55" s="29"/>
      <c r="I55" s="93"/>
    </row>
    <row r="56" spans="1:10" customFormat="1" ht="15" customHeight="1">
      <c r="A56" s="22"/>
      <c r="B56" s="24"/>
      <c r="C56" s="50"/>
      <c r="D56" s="50"/>
      <c r="E56" s="50"/>
      <c r="F56" s="50"/>
      <c r="G56" s="50"/>
      <c r="H56" s="29"/>
      <c r="I56" s="93"/>
    </row>
    <row r="57" spans="1:10">
      <c r="C57" s="14"/>
      <c r="D57" s="14"/>
      <c r="E57" s="14"/>
      <c r="F57" s="14"/>
      <c r="H57" s="12"/>
      <c r="J57"/>
    </row>
    <row r="58" spans="1:10">
      <c r="C58" s="14"/>
      <c r="D58" s="14"/>
      <c r="E58" s="14"/>
      <c r="F58" s="14"/>
      <c r="G58" s="14"/>
      <c r="H58" s="12"/>
      <c r="J58"/>
    </row>
    <row r="59" spans="1:10">
      <c r="C59" s="14"/>
      <c r="D59" s="14"/>
      <c r="E59" s="14"/>
      <c r="F59" s="14"/>
      <c r="G59" s="14"/>
      <c r="H59" s="12"/>
      <c r="J59"/>
    </row>
    <row r="60" spans="1:10">
      <c r="C60" s="14"/>
      <c r="D60" s="14"/>
      <c r="E60" s="14"/>
      <c r="F60" s="14"/>
      <c r="G60" s="14"/>
      <c r="H60" s="12"/>
      <c r="J60"/>
    </row>
    <row r="61" spans="1:10">
      <c r="C61" s="14"/>
      <c r="D61" s="14"/>
      <c r="E61" s="14"/>
      <c r="F61" s="14"/>
      <c r="G61" s="14"/>
      <c r="H61" s="12"/>
      <c r="J61"/>
    </row>
    <row r="62" spans="1:10">
      <c r="C62" s="14"/>
      <c r="D62" s="14"/>
      <c r="E62" s="14"/>
      <c r="F62" s="14"/>
      <c r="G62" s="14"/>
      <c r="H62" s="12"/>
      <c r="J62"/>
    </row>
    <row r="63" spans="1:10">
      <c r="C63" s="14"/>
      <c r="D63" s="14"/>
      <c r="E63" s="14"/>
      <c r="F63" s="14"/>
      <c r="G63" s="14"/>
      <c r="H63" s="12"/>
    </row>
    <row r="64" spans="1:10">
      <c r="C64" s="14"/>
      <c r="D64" s="14"/>
      <c r="E64" s="14"/>
      <c r="F64" s="14"/>
      <c r="G64" s="14"/>
      <c r="H64" s="12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6743-0B65-4F34-9A98-72AB82EC1BD6}">
  <sheetPr>
    <pageSetUpPr fitToPage="1"/>
  </sheetPr>
  <dimension ref="A1:J105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100" customWidth="1"/>
    <col min="10" max="10" width="5.85546875" style="13" customWidth="1"/>
    <col min="11" max="16384" width="8.85546875" style="13"/>
  </cols>
  <sheetData>
    <row r="1" spans="1:10" s="1" customFormat="1" ht="14.45">
      <c r="C1" s="51"/>
      <c r="D1" s="2"/>
      <c r="E1" s="2"/>
      <c r="F1" s="2"/>
      <c r="G1" s="2"/>
      <c r="H1" s="3"/>
      <c r="I1" s="98"/>
      <c r="J1" s="2"/>
    </row>
    <row r="2" spans="1:10" s="1" customFormat="1" ht="14.45">
      <c r="C2" s="51"/>
      <c r="D2" s="3"/>
      <c r="E2" s="2"/>
      <c r="G2" s="56" t="s">
        <v>0</v>
      </c>
      <c r="I2" s="98"/>
      <c r="J2" s="2"/>
    </row>
    <row r="3" spans="1:10" s="1" customFormat="1" ht="14.45">
      <c r="B3" s="2"/>
      <c r="C3" s="51"/>
      <c r="D3" s="3"/>
      <c r="E3" s="2"/>
      <c r="G3" s="56" t="s">
        <v>1</v>
      </c>
      <c r="I3" s="98"/>
      <c r="J3" s="2"/>
    </row>
    <row r="4" spans="1:10" s="1" customFormat="1" ht="14.45">
      <c r="B4" s="4"/>
      <c r="C4" s="52"/>
      <c r="D4" s="5"/>
      <c r="E4" s="5"/>
      <c r="F4" s="5"/>
      <c r="G4" s="5"/>
      <c r="I4" s="92"/>
      <c r="J4" s="6"/>
    </row>
    <row r="5" spans="1:10" s="7" customFormat="1">
      <c r="B5" s="8" t="s">
        <v>94</v>
      </c>
      <c r="C5" s="53"/>
      <c r="D5" s="10"/>
      <c r="E5" s="10"/>
      <c r="F5" s="10"/>
      <c r="G5" s="10"/>
      <c r="H5" s="10"/>
      <c r="I5" s="92"/>
      <c r="J5" s="6"/>
    </row>
    <row r="6" spans="1:10" s="7" customFormat="1" ht="7.5" customHeight="1">
      <c r="A6" s="68"/>
      <c r="B6" s="68"/>
      <c r="C6" s="126"/>
      <c r="D6" s="68"/>
      <c r="E6" s="68"/>
      <c r="F6" s="68"/>
      <c r="G6" s="68"/>
      <c r="H6" s="68"/>
      <c r="I6" s="92"/>
      <c r="J6" s="6"/>
    </row>
    <row r="7" spans="1:10" ht="7.15" customHeight="1">
      <c r="I7" s="92"/>
      <c r="J7" s="6"/>
    </row>
    <row r="8" spans="1:10" customFormat="1" ht="15" customHeight="1">
      <c r="A8" s="22"/>
      <c r="B8" s="49"/>
      <c r="D8" s="50"/>
      <c r="E8" s="50"/>
      <c r="F8" s="50"/>
      <c r="G8" s="17"/>
      <c r="H8" s="29"/>
      <c r="I8" s="92"/>
      <c r="J8" s="6"/>
    </row>
    <row r="9" spans="1:10" customFormat="1" ht="15" customHeight="1">
      <c r="A9" s="22"/>
      <c r="B9" s="24"/>
      <c r="C9" s="54"/>
      <c r="D9" s="127"/>
      <c r="E9" s="127"/>
      <c r="F9" s="127"/>
      <c r="G9" s="127"/>
      <c r="H9" s="29"/>
      <c r="I9" s="92"/>
      <c r="J9" s="6"/>
    </row>
    <row r="10" spans="1:1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92"/>
      <c r="J10" s="6"/>
    </row>
    <row r="11" spans="1:10" customFormat="1" ht="14.45">
      <c r="A11" s="22"/>
      <c r="B11" s="48"/>
      <c r="C11" s="37"/>
      <c r="D11" s="37"/>
      <c r="E11" s="37"/>
      <c r="F11" s="59"/>
      <c r="G11" s="59"/>
      <c r="H11" s="29"/>
      <c r="I11" s="92"/>
      <c r="J11" s="6"/>
    </row>
    <row r="12" spans="1:10" customFormat="1" ht="14.45">
      <c r="A12" s="22"/>
      <c r="B12" s="45">
        <v>2.7</v>
      </c>
      <c r="C12" s="55" t="s">
        <v>48</v>
      </c>
      <c r="D12" s="37"/>
      <c r="E12" s="37"/>
      <c r="F12" s="59"/>
      <c r="G12" s="59"/>
      <c r="H12" s="29"/>
      <c r="I12" s="92"/>
      <c r="J12" s="6"/>
    </row>
    <row r="13" spans="1:10" customFormat="1" ht="14.45">
      <c r="A13" s="22"/>
      <c r="B13" s="48"/>
      <c r="C13" s="55"/>
      <c r="D13" s="37"/>
      <c r="E13" s="37"/>
      <c r="F13" s="59"/>
      <c r="G13" s="59"/>
      <c r="H13" s="29"/>
      <c r="I13" s="92"/>
      <c r="J13" s="6"/>
    </row>
    <row r="14" spans="1:10" customFormat="1" ht="14.45">
      <c r="A14" s="22"/>
      <c r="B14" s="48"/>
      <c r="C14" s="37" t="s">
        <v>95</v>
      </c>
      <c r="D14" s="37">
        <v>475</v>
      </c>
      <c r="E14" s="37" t="s">
        <v>6</v>
      </c>
      <c r="F14" s="59">
        <v>72</v>
      </c>
      <c r="G14" s="59">
        <f>D14*F14</f>
        <v>34200</v>
      </c>
      <c r="H14" s="29"/>
      <c r="I14" s="92"/>
      <c r="J14" s="6"/>
    </row>
    <row r="15" spans="1:10" customFormat="1" ht="14.45">
      <c r="A15" s="22"/>
      <c r="B15" s="48"/>
      <c r="C15" s="37"/>
      <c r="D15" s="37"/>
      <c r="E15" s="37"/>
      <c r="F15" s="59"/>
      <c r="G15" s="59"/>
      <c r="H15" s="29"/>
      <c r="I15" s="92"/>
      <c r="J15" s="6"/>
    </row>
    <row r="16" spans="1:10" customFormat="1" ht="14.45">
      <c r="A16" s="22"/>
      <c r="B16" s="48"/>
      <c r="C16" s="37" t="s">
        <v>96</v>
      </c>
      <c r="D16" s="37">
        <v>3</v>
      </c>
      <c r="E16" s="37" t="s">
        <v>6</v>
      </c>
      <c r="F16" s="59">
        <v>250</v>
      </c>
      <c r="G16" s="59">
        <f>D16*F16</f>
        <v>750</v>
      </c>
      <c r="H16" s="29"/>
      <c r="I16" s="92"/>
      <c r="J16" s="6"/>
    </row>
    <row r="17" spans="1:10" customFormat="1" ht="14.45">
      <c r="A17" s="22"/>
      <c r="B17" s="48"/>
      <c r="C17" s="37"/>
      <c r="D17" s="37"/>
      <c r="E17" s="37"/>
      <c r="F17" s="59"/>
      <c r="G17" s="59"/>
      <c r="H17" s="29"/>
      <c r="I17" s="92"/>
      <c r="J17" s="6"/>
    </row>
    <row r="18" spans="1:10" customFormat="1" ht="28.9">
      <c r="A18" s="22"/>
      <c r="B18" s="48"/>
      <c r="C18" s="37" t="s">
        <v>97</v>
      </c>
      <c r="D18" s="37">
        <v>1</v>
      </c>
      <c r="E18" s="37" t="s">
        <v>74</v>
      </c>
      <c r="F18" s="59">
        <v>850</v>
      </c>
      <c r="G18" s="59">
        <f>D18*F18</f>
        <v>850</v>
      </c>
      <c r="H18" s="29"/>
      <c r="I18" s="92"/>
      <c r="J18" s="6"/>
    </row>
    <row r="19" spans="1:10" customFormat="1" ht="14.45">
      <c r="A19" s="22"/>
      <c r="B19" s="48"/>
      <c r="C19" s="37"/>
      <c r="D19" s="37"/>
      <c r="E19" s="37"/>
      <c r="F19" s="59"/>
      <c r="G19" s="59"/>
      <c r="H19" s="29"/>
      <c r="I19" s="92"/>
      <c r="J19" s="6"/>
    </row>
    <row r="20" spans="1:10" customFormat="1" ht="28.9">
      <c r="A20" s="22"/>
      <c r="B20" s="48"/>
      <c r="C20" s="37" t="s">
        <v>98</v>
      </c>
      <c r="D20" s="37">
        <v>40</v>
      </c>
      <c r="E20" s="37" t="s">
        <v>6</v>
      </c>
      <c r="F20" s="59">
        <v>166</v>
      </c>
      <c r="G20" s="59">
        <f>D20*F20</f>
        <v>6640</v>
      </c>
      <c r="H20" s="29"/>
      <c r="I20" s="92"/>
      <c r="J20" s="6"/>
    </row>
    <row r="21" spans="1:10" customFormat="1" ht="14.45">
      <c r="A21" s="22"/>
      <c r="B21" s="48"/>
      <c r="C21" s="118"/>
      <c r="D21" s="119"/>
      <c r="E21" s="119"/>
      <c r="F21" s="120"/>
      <c r="G21" s="59"/>
      <c r="H21" s="29"/>
      <c r="I21" s="92"/>
      <c r="J21" s="6"/>
    </row>
    <row r="22" spans="1:10" customFormat="1" ht="15" customHeight="1">
      <c r="A22" s="22"/>
      <c r="B22" s="25"/>
      <c r="C22" s="85"/>
      <c r="D22" s="81"/>
      <c r="E22" s="81"/>
      <c r="F22" s="86" t="s">
        <v>85</v>
      </c>
      <c r="G22" s="60">
        <f>SUM(G14:G20)</f>
        <v>42440</v>
      </c>
      <c r="H22" s="29"/>
      <c r="I22" s="99"/>
      <c r="J22" s="6"/>
    </row>
    <row r="23" spans="1:10" customFormat="1" ht="14.45">
      <c r="A23" s="22"/>
      <c r="B23" s="48"/>
      <c r="C23" s="37"/>
      <c r="D23" s="37"/>
      <c r="E23" s="37"/>
      <c r="F23" s="59"/>
      <c r="G23" s="59"/>
      <c r="H23" s="29"/>
      <c r="I23" s="92"/>
      <c r="J23" s="6"/>
    </row>
    <row r="24" spans="1:10" customFormat="1" ht="14.45">
      <c r="A24" s="22"/>
      <c r="B24" s="45">
        <v>2.8</v>
      </c>
      <c r="C24" s="55" t="s">
        <v>99</v>
      </c>
      <c r="D24" s="37"/>
      <c r="E24" s="37"/>
      <c r="F24" s="59"/>
      <c r="G24" s="59"/>
      <c r="H24" s="29"/>
      <c r="I24" s="92"/>
      <c r="J24" s="6"/>
    </row>
    <row r="25" spans="1:10" customFormat="1" ht="14.45">
      <c r="A25" s="22"/>
      <c r="B25" s="45"/>
      <c r="C25" s="55"/>
      <c r="D25" s="37"/>
      <c r="E25" s="37"/>
      <c r="F25" s="59"/>
      <c r="G25" s="59"/>
      <c r="H25" s="29"/>
      <c r="I25" s="92"/>
      <c r="J25" s="6"/>
    </row>
    <row r="26" spans="1:10" customFormat="1" ht="14.45">
      <c r="A26" s="22"/>
      <c r="B26" s="48"/>
      <c r="C26" s="37" t="s">
        <v>100</v>
      </c>
      <c r="D26" s="37">
        <v>5</v>
      </c>
      <c r="E26" s="37" t="s">
        <v>81</v>
      </c>
      <c r="F26" s="59">
        <v>3250</v>
      </c>
      <c r="G26" s="59">
        <f>D26*F26</f>
        <v>16250</v>
      </c>
      <c r="H26" s="29"/>
      <c r="I26" s="92"/>
      <c r="J26" s="6"/>
    </row>
    <row r="27" spans="1:10" customFormat="1" ht="14.45">
      <c r="A27" s="22"/>
      <c r="B27" s="48"/>
      <c r="C27" s="37"/>
      <c r="D27" s="37"/>
      <c r="E27" s="37"/>
      <c r="F27" s="59"/>
      <c r="G27" s="59"/>
      <c r="H27" s="29"/>
      <c r="I27" s="92"/>
      <c r="J27" s="6"/>
    </row>
    <row r="28" spans="1:10" customFormat="1" ht="14.45">
      <c r="A28" s="22"/>
      <c r="B28" s="48"/>
      <c r="C28" s="37" t="s">
        <v>101</v>
      </c>
      <c r="D28" s="37">
        <v>1</v>
      </c>
      <c r="E28" s="37" t="s">
        <v>81</v>
      </c>
      <c r="F28" s="59">
        <v>4800</v>
      </c>
      <c r="G28" s="59">
        <f>D28*F28</f>
        <v>4800</v>
      </c>
      <c r="H28" s="29"/>
      <c r="I28" s="92"/>
      <c r="J28" s="6"/>
    </row>
    <row r="29" spans="1:10" customFormat="1" ht="14.45">
      <c r="A29" s="22"/>
      <c r="B29" s="48"/>
      <c r="C29" s="37"/>
      <c r="D29" s="37"/>
      <c r="E29" s="37"/>
      <c r="F29" s="59"/>
      <c r="G29" s="59"/>
      <c r="H29" s="29"/>
      <c r="I29" s="92"/>
      <c r="J29" s="6"/>
    </row>
    <row r="30" spans="1:10" customFormat="1" ht="14.45">
      <c r="A30" s="22"/>
      <c r="B30" s="48"/>
      <c r="C30" s="37" t="s">
        <v>102</v>
      </c>
      <c r="D30" s="37">
        <v>2</v>
      </c>
      <c r="E30" s="37" t="s">
        <v>81</v>
      </c>
      <c r="F30" s="59">
        <v>1800</v>
      </c>
      <c r="G30" s="59">
        <f>D30*F30</f>
        <v>3600</v>
      </c>
      <c r="H30" s="29"/>
      <c r="I30" s="92"/>
      <c r="J30" s="6"/>
    </row>
    <row r="31" spans="1:10" customFormat="1" ht="14.45">
      <c r="A31" s="22"/>
      <c r="B31" s="48"/>
      <c r="C31" s="37"/>
      <c r="D31" s="37"/>
      <c r="E31" s="37"/>
      <c r="F31" s="59"/>
      <c r="G31" s="59"/>
      <c r="H31" s="29"/>
      <c r="I31" s="92"/>
      <c r="J31" s="6"/>
    </row>
    <row r="32" spans="1:10" customFormat="1" ht="14.45">
      <c r="A32" s="22"/>
      <c r="B32" s="48"/>
      <c r="C32" s="37" t="s">
        <v>103</v>
      </c>
      <c r="D32" s="37">
        <v>4</v>
      </c>
      <c r="E32" s="37" t="s">
        <v>81</v>
      </c>
      <c r="F32" s="59">
        <v>400</v>
      </c>
      <c r="G32" s="59">
        <f>D32*F32</f>
        <v>1600</v>
      </c>
      <c r="H32" s="29"/>
      <c r="I32" s="92"/>
      <c r="J32" s="6"/>
    </row>
    <row r="33" spans="1:10" customFormat="1" ht="14.45">
      <c r="A33" s="22"/>
      <c r="B33" s="48"/>
      <c r="C33" s="118"/>
      <c r="D33" s="119"/>
      <c r="E33" s="119"/>
      <c r="F33" s="120"/>
      <c r="G33" s="59"/>
      <c r="H33" s="29"/>
      <c r="I33" s="92"/>
      <c r="J33" s="6"/>
    </row>
    <row r="34" spans="1:10" customFormat="1" ht="15" customHeight="1">
      <c r="A34" s="22"/>
      <c r="B34" s="25"/>
      <c r="C34" s="85"/>
      <c r="D34" s="81"/>
      <c r="E34" s="81"/>
      <c r="F34" s="86" t="s">
        <v>85</v>
      </c>
      <c r="G34" s="60">
        <f>SUM(G24:G32)</f>
        <v>26250</v>
      </c>
      <c r="H34" s="29"/>
      <c r="I34" s="99"/>
      <c r="J34" s="6"/>
    </row>
    <row r="35" spans="1:10" customFormat="1" ht="15" customHeight="1">
      <c r="A35" s="22"/>
      <c r="B35" s="30"/>
      <c r="C35" s="32"/>
      <c r="D35" s="32"/>
      <c r="E35" s="32"/>
      <c r="F35" s="61"/>
      <c r="G35" s="61"/>
      <c r="H35" s="29"/>
      <c r="I35" s="99"/>
      <c r="J35" s="6"/>
    </row>
    <row r="36" spans="1:10" customFormat="1" ht="15" customHeight="1">
      <c r="A36" s="22"/>
      <c r="B36" s="24"/>
      <c r="C36" s="50"/>
      <c r="D36" s="50"/>
      <c r="E36" s="50"/>
      <c r="F36" s="50"/>
      <c r="G36" s="50"/>
      <c r="H36" s="29"/>
      <c r="I36" s="99"/>
      <c r="J36" s="6"/>
    </row>
    <row r="37" spans="1:10">
      <c r="C37" s="14"/>
      <c r="D37" s="14"/>
      <c r="E37" s="14"/>
      <c r="F37" s="14"/>
      <c r="G37" s="14"/>
      <c r="H37" s="12"/>
      <c r="J37" s="6"/>
    </row>
    <row r="38" spans="1:10">
      <c r="C38" s="14"/>
      <c r="D38" s="14"/>
      <c r="E38" s="14"/>
      <c r="F38" s="14"/>
      <c r="G38" s="14"/>
      <c r="H38" s="12"/>
      <c r="J38" s="6"/>
    </row>
    <row r="39" spans="1:10">
      <c r="C39" s="14"/>
      <c r="D39" s="14"/>
      <c r="E39" s="14"/>
      <c r="F39" s="14"/>
      <c r="G39" s="14"/>
      <c r="H39" s="12"/>
      <c r="J39" s="6"/>
    </row>
    <row r="40" spans="1:10">
      <c r="C40" s="14"/>
      <c r="D40" s="14"/>
      <c r="E40" s="14"/>
      <c r="F40" s="14"/>
      <c r="G40" s="14"/>
      <c r="H40" s="12"/>
      <c r="J40" s="6"/>
    </row>
    <row r="41" spans="1:10">
      <c r="C41" s="14"/>
      <c r="D41" s="14"/>
      <c r="E41" s="14"/>
      <c r="F41" s="14"/>
      <c r="G41" s="14"/>
      <c r="H41" s="12"/>
      <c r="J41" s="6"/>
    </row>
    <row r="42" spans="1:10">
      <c r="C42" s="14"/>
      <c r="D42" s="14"/>
      <c r="E42" s="14"/>
      <c r="F42" s="14"/>
      <c r="G42" s="14"/>
      <c r="H42" s="12"/>
      <c r="J42" s="6"/>
    </row>
    <row r="43" spans="1:10">
      <c r="C43" s="14"/>
      <c r="D43" s="14"/>
      <c r="E43" s="14"/>
      <c r="F43" s="14"/>
      <c r="G43" s="14"/>
      <c r="H43" s="12"/>
      <c r="J43" s="6"/>
    </row>
    <row r="44" spans="1:10">
      <c r="C44" s="14"/>
      <c r="D44" s="14"/>
      <c r="E44" s="14"/>
      <c r="F44" s="14"/>
      <c r="G44" s="14"/>
      <c r="H44" s="12"/>
      <c r="J44" s="6"/>
    </row>
    <row r="45" spans="1:10">
      <c r="J45" s="6"/>
    </row>
    <row r="46" spans="1:10">
      <c r="J46" s="6"/>
    </row>
    <row r="47" spans="1:10">
      <c r="J47" s="6"/>
    </row>
    <row r="48" spans="1:10">
      <c r="J48" s="6"/>
    </row>
    <row r="49" spans="10:10">
      <c r="J49" s="6"/>
    </row>
    <row r="50" spans="10:10">
      <c r="J50" s="6"/>
    </row>
    <row r="51" spans="10:10">
      <c r="J51" s="6"/>
    </row>
    <row r="52" spans="10:10">
      <c r="J52" s="6"/>
    </row>
    <row r="53" spans="10:10">
      <c r="J53" s="6"/>
    </row>
    <row r="54" spans="10:10">
      <c r="J54" s="6"/>
    </row>
    <row r="55" spans="10:10">
      <c r="J55" s="6"/>
    </row>
    <row r="56" spans="10:10">
      <c r="J56" s="6"/>
    </row>
    <row r="57" spans="10:10">
      <c r="J57" s="6"/>
    </row>
    <row r="58" spans="10:10">
      <c r="J58" s="6"/>
    </row>
    <row r="59" spans="10:10">
      <c r="J59" s="6"/>
    </row>
    <row r="60" spans="10:10">
      <c r="J60" s="6"/>
    </row>
    <row r="61" spans="10:10">
      <c r="J61" s="6"/>
    </row>
    <row r="62" spans="10:10">
      <c r="J62" s="6"/>
    </row>
    <row r="63" spans="10:10">
      <c r="J63" s="6"/>
    </row>
    <row r="64" spans="10:10">
      <c r="J64" s="6"/>
    </row>
    <row r="65" spans="10:10">
      <c r="J65" s="6"/>
    </row>
    <row r="66" spans="10:10">
      <c r="J66" s="6"/>
    </row>
    <row r="67" spans="10:10">
      <c r="J67" s="6"/>
    </row>
    <row r="68" spans="10:10">
      <c r="J68" s="6"/>
    </row>
    <row r="69" spans="10:10">
      <c r="J69" s="6"/>
    </row>
    <row r="70" spans="10:10">
      <c r="J70" s="6"/>
    </row>
    <row r="71" spans="10:10">
      <c r="J71" s="6"/>
    </row>
    <row r="72" spans="10:10">
      <c r="J72" s="6"/>
    </row>
    <row r="73" spans="10:10">
      <c r="J73" s="6"/>
    </row>
    <row r="74" spans="10:10">
      <c r="J74" s="6"/>
    </row>
    <row r="75" spans="10:10">
      <c r="J75" s="6"/>
    </row>
    <row r="76" spans="10:10">
      <c r="J76" s="6"/>
    </row>
    <row r="77" spans="10:10">
      <c r="J77" s="6"/>
    </row>
    <row r="78" spans="10:10">
      <c r="J78" s="6"/>
    </row>
    <row r="79" spans="10:10">
      <c r="J79" s="6"/>
    </row>
    <row r="80" spans="10:10">
      <c r="J80" s="6"/>
    </row>
    <row r="81" spans="10:10">
      <c r="J81" s="6"/>
    </row>
    <row r="82" spans="10:10">
      <c r="J82" s="6"/>
    </row>
    <row r="83" spans="10:10">
      <c r="J83" s="6"/>
    </row>
    <row r="84" spans="10:10">
      <c r="J84" s="6"/>
    </row>
    <row r="85" spans="10:10">
      <c r="J85" s="6"/>
    </row>
    <row r="86" spans="10:10">
      <c r="J86" s="6"/>
    </row>
    <row r="87" spans="10:10">
      <c r="J87" s="6"/>
    </row>
    <row r="88" spans="10:10">
      <c r="J88" s="6"/>
    </row>
    <row r="89" spans="10:10">
      <c r="J89" s="6"/>
    </row>
    <row r="90" spans="10:10">
      <c r="J90" s="6"/>
    </row>
    <row r="91" spans="10:10">
      <c r="J91" s="6"/>
    </row>
    <row r="92" spans="10:10">
      <c r="J92" s="6"/>
    </row>
    <row r="93" spans="10:10">
      <c r="J93" s="6"/>
    </row>
    <row r="94" spans="10:10">
      <c r="J94" s="6"/>
    </row>
    <row r="95" spans="10:10">
      <c r="J95" s="6"/>
    </row>
    <row r="96" spans="10:10">
      <c r="J96" s="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E13F-86AC-494F-B090-F641E5B9D79A}">
  <sheetPr>
    <pageSetUpPr fitToPage="1"/>
  </sheetPr>
  <dimension ref="A1:K199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13" customWidth="1"/>
    <col min="10" max="10" width="5.85546875" style="13" customWidth="1"/>
    <col min="11" max="16384" width="8.85546875" style="13"/>
  </cols>
  <sheetData>
    <row r="1" spans="1:10" s="1" customFormat="1" ht="14.45">
      <c r="C1" s="51"/>
      <c r="D1" s="2"/>
      <c r="E1" s="2"/>
      <c r="F1" s="2"/>
      <c r="G1" s="2"/>
      <c r="H1" s="3"/>
      <c r="I1" s="2"/>
      <c r="J1" s="2"/>
    </row>
    <row r="2" spans="1:10" s="1" customFormat="1" ht="14.45">
      <c r="C2" s="51"/>
      <c r="D2" s="3"/>
      <c r="E2" s="2"/>
      <c r="G2" s="56" t="s">
        <v>0</v>
      </c>
      <c r="I2" s="2"/>
      <c r="J2" s="2"/>
    </row>
    <row r="3" spans="1:10" s="1" customFormat="1" ht="14.45">
      <c r="B3" s="2"/>
      <c r="C3" s="51"/>
      <c r="D3" s="3"/>
      <c r="E3" s="2"/>
      <c r="G3" s="56" t="s">
        <v>1</v>
      </c>
      <c r="I3" s="2"/>
      <c r="J3" s="2"/>
    </row>
    <row r="4" spans="1:10" s="1" customFormat="1" ht="14.45">
      <c r="B4" s="4"/>
      <c r="C4" s="52"/>
      <c r="D4" s="5"/>
      <c r="E4" s="5"/>
      <c r="F4" s="5"/>
      <c r="G4" s="5"/>
      <c r="I4" s="5"/>
      <c r="J4" s="6"/>
    </row>
    <row r="5" spans="1:10" s="7" customFormat="1">
      <c r="B5" s="8" t="s">
        <v>104</v>
      </c>
      <c r="C5" s="53"/>
      <c r="D5" s="10"/>
      <c r="E5" s="10"/>
      <c r="F5" s="10"/>
      <c r="G5" s="10"/>
      <c r="H5" s="10"/>
      <c r="I5" s="5"/>
      <c r="J5" s="6"/>
    </row>
    <row r="6" spans="1:10" s="7" customFormat="1" ht="7.5" customHeight="1">
      <c r="A6" s="68"/>
      <c r="B6" s="68"/>
      <c r="C6" s="126"/>
      <c r="D6" s="68"/>
      <c r="E6" s="68"/>
      <c r="F6" s="68"/>
      <c r="G6" s="68"/>
      <c r="H6" s="68"/>
      <c r="I6" s="5"/>
      <c r="J6" s="6"/>
    </row>
    <row r="7" spans="1:10" ht="7.15" customHeight="1">
      <c r="I7" s="5"/>
      <c r="J7" s="6"/>
    </row>
    <row r="8" spans="1:10" customFormat="1" ht="15" customHeight="1">
      <c r="A8" s="22"/>
      <c r="B8" s="49"/>
      <c r="D8" s="50"/>
      <c r="E8" s="50"/>
      <c r="F8" s="50"/>
      <c r="G8" s="17"/>
      <c r="H8" s="29"/>
      <c r="I8" s="5"/>
      <c r="J8" s="6"/>
    </row>
    <row r="9" spans="1:10" customFormat="1" ht="15" customHeight="1">
      <c r="A9" s="22"/>
      <c r="B9" s="24"/>
      <c r="C9" s="54"/>
      <c r="D9" s="127"/>
      <c r="E9" s="127"/>
      <c r="F9" s="127"/>
      <c r="G9" s="127"/>
      <c r="H9" s="29"/>
      <c r="I9" s="5"/>
      <c r="J9" s="6"/>
    </row>
    <row r="10" spans="1:1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5"/>
      <c r="J10" s="6"/>
    </row>
    <row r="11" spans="1:10" customFormat="1" ht="14.45">
      <c r="A11" s="22"/>
      <c r="B11" s="48"/>
      <c r="C11" s="37"/>
      <c r="D11" s="37"/>
      <c r="E11" s="37"/>
      <c r="F11" s="59"/>
      <c r="G11" s="59"/>
      <c r="H11" s="29"/>
      <c r="I11" s="5"/>
      <c r="J11" s="6"/>
    </row>
    <row r="12" spans="1:10" customFormat="1" ht="14.45">
      <c r="A12" s="22"/>
      <c r="B12" s="45">
        <v>3.1</v>
      </c>
      <c r="C12" s="55" t="s">
        <v>50</v>
      </c>
      <c r="D12" s="37"/>
      <c r="E12" s="37"/>
      <c r="F12" s="59"/>
      <c r="G12" s="59"/>
      <c r="H12" s="29"/>
      <c r="I12" s="5"/>
      <c r="J12" s="6"/>
    </row>
    <row r="13" spans="1:10" customFormat="1" ht="14.45">
      <c r="A13" s="22"/>
      <c r="B13" s="48"/>
      <c r="C13" s="37"/>
      <c r="D13" s="37"/>
      <c r="E13" s="37"/>
      <c r="F13" s="59"/>
      <c r="G13" s="59"/>
      <c r="H13" s="29"/>
      <c r="I13" s="5"/>
      <c r="J13" s="6"/>
    </row>
    <row r="14" spans="1:10" customFormat="1" ht="14.45">
      <c r="A14" s="22"/>
      <c r="B14" s="48"/>
      <c r="C14" s="37" t="s">
        <v>105</v>
      </c>
      <c r="D14" s="37">
        <v>475</v>
      </c>
      <c r="E14" s="37" t="s">
        <v>6</v>
      </c>
      <c r="F14" s="59">
        <v>18</v>
      </c>
      <c r="G14" s="59">
        <f>D14*F14</f>
        <v>8550</v>
      </c>
      <c r="H14" s="29"/>
      <c r="I14" s="5"/>
      <c r="J14" s="6"/>
    </row>
    <row r="15" spans="1:10" customFormat="1" ht="14.45">
      <c r="A15" s="22"/>
      <c r="B15" s="48"/>
      <c r="C15" s="37"/>
      <c r="D15" s="37"/>
      <c r="E15" s="37"/>
      <c r="F15" s="59"/>
      <c r="G15" s="59"/>
      <c r="H15" s="29"/>
      <c r="I15" s="5"/>
      <c r="J15" s="6"/>
    </row>
    <row r="16" spans="1:10" customFormat="1" ht="14.45">
      <c r="A16" s="22"/>
      <c r="B16" s="48"/>
      <c r="C16" s="37" t="s">
        <v>106</v>
      </c>
      <c r="D16" s="37">
        <v>70</v>
      </c>
      <c r="E16" s="37" t="s">
        <v>6</v>
      </c>
      <c r="F16" s="59">
        <v>18</v>
      </c>
      <c r="G16" s="59">
        <f>D16*F16</f>
        <v>1260</v>
      </c>
      <c r="H16" s="29"/>
      <c r="I16" s="5"/>
      <c r="J16" s="6"/>
    </row>
    <row r="17" spans="1:10" customFormat="1" ht="14.45">
      <c r="A17" s="22"/>
      <c r="B17" s="48"/>
      <c r="C17" s="118"/>
      <c r="D17" s="119"/>
      <c r="E17" s="119"/>
      <c r="F17" s="120"/>
      <c r="G17" s="59"/>
      <c r="H17" s="29"/>
      <c r="I17" s="5"/>
      <c r="J17" s="6"/>
    </row>
    <row r="18" spans="1:10" customFormat="1" ht="15" customHeight="1">
      <c r="A18" s="22"/>
      <c r="B18" s="25"/>
      <c r="C18" s="85"/>
      <c r="D18" s="81"/>
      <c r="E18" s="81"/>
      <c r="F18" s="86" t="s">
        <v>85</v>
      </c>
      <c r="G18" s="60">
        <f>SUM(G14:G16)</f>
        <v>9810</v>
      </c>
      <c r="H18" s="29"/>
      <c r="J18" s="6"/>
    </row>
    <row r="19" spans="1:10" customFormat="1" ht="14.45">
      <c r="A19" s="22"/>
      <c r="B19" s="48"/>
      <c r="C19" s="37"/>
      <c r="D19" s="37"/>
      <c r="E19" s="37"/>
      <c r="F19" s="59"/>
      <c r="G19" s="59"/>
      <c r="H19" s="29"/>
      <c r="I19" s="5"/>
      <c r="J19" s="6"/>
    </row>
    <row r="20" spans="1:10" customFormat="1" ht="14.45">
      <c r="A20" s="22"/>
      <c r="B20" s="45">
        <v>3.2</v>
      </c>
      <c r="C20" s="55" t="s">
        <v>51</v>
      </c>
      <c r="D20" s="37"/>
      <c r="E20" s="37"/>
      <c r="F20" s="59"/>
      <c r="G20" s="59"/>
      <c r="H20" s="29"/>
      <c r="I20" s="5"/>
      <c r="J20" s="6"/>
    </row>
    <row r="21" spans="1:10" customFormat="1" ht="14.45">
      <c r="A21" s="22"/>
      <c r="B21" s="48"/>
      <c r="C21" s="37"/>
      <c r="D21" s="37"/>
      <c r="E21" s="37"/>
      <c r="F21" s="59"/>
      <c r="G21" s="59"/>
      <c r="H21" s="29"/>
      <c r="I21" s="5"/>
      <c r="J21" s="6"/>
    </row>
    <row r="22" spans="1:10" customFormat="1" ht="14.45">
      <c r="A22" s="22"/>
      <c r="B22" s="48"/>
      <c r="C22" s="37" t="s">
        <v>107</v>
      </c>
      <c r="D22" s="37">
        <v>173</v>
      </c>
      <c r="E22" s="37" t="s">
        <v>6</v>
      </c>
      <c r="F22" s="59">
        <v>111</v>
      </c>
      <c r="G22" s="59">
        <f>D22*F22</f>
        <v>19203</v>
      </c>
      <c r="H22" s="29"/>
      <c r="I22" s="5"/>
      <c r="J22" s="6"/>
    </row>
    <row r="23" spans="1:10" customFormat="1" ht="14.45">
      <c r="A23" s="22"/>
      <c r="B23" s="48"/>
      <c r="C23" s="37"/>
      <c r="D23" s="37"/>
      <c r="E23" s="37"/>
      <c r="F23" s="59"/>
      <c r="G23" s="59"/>
      <c r="H23" s="29"/>
      <c r="I23" s="5"/>
      <c r="J23" s="6"/>
    </row>
    <row r="24" spans="1:10" customFormat="1" ht="14.45">
      <c r="A24" s="22"/>
      <c r="B24" s="48"/>
      <c r="C24" s="37" t="s">
        <v>108</v>
      </c>
      <c r="D24" s="37">
        <v>136</v>
      </c>
      <c r="E24" s="37" t="s">
        <v>109</v>
      </c>
      <c r="F24" s="59">
        <v>18</v>
      </c>
      <c r="G24" s="59">
        <f>D24*F24</f>
        <v>2448</v>
      </c>
      <c r="H24" s="29"/>
      <c r="I24" s="5"/>
      <c r="J24" s="6"/>
    </row>
    <row r="25" spans="1:10" customFormat="1" ht="14.45">
      <c r="A25" s="22"/>
      <c r="B25" s="48"/>
      <c r="C25" s="37"/>
      <c r="D25" s="37"/>
      <c r="E25" s="37"/>
      <c r="F25" s="59"/>
      <c r="G25" s="59"/>
      <c r="H25" s="29"/>
      <c r="I25" s="5"/>
      <c r="J25" s="6"/>
    </row>
    <row r="26" spans="1:10" customFormat="1" ht="14.45">
      <c r="A26" s="22"/>
      <c r="B26" s="48"/>
      <c r="C26" s="37" t="s">
        <v>110</v>
      </c>
      <c r="D26" s="37">
        <v>33</v>
      </c>
      <c r="E26" s="37" t="s">
        <v>6</v>
      </c>
      <c r="F26" s="59">
        <v>60</v>
      </c>
      <c r="G26" s="59">
        <f>D26*F26</f>
        <v>1980</v>
      </c>
      <c r="H26" s="29"/>
      <c r="I26" s="5"/>
      <c r="J26" s="6"/>
    </row>
    <row r="27" spans="1:10" customFormat="1" ht="14.45">
      <c r="A27" s="22"/>
      <c r="B27" s="48"/>
      <c r="C27" s="118"/>
      <c r="D27" s="119"/>
      <c r="E27" s="119"/>
      <c r="F27" s="120"/>
      <c r="G27" s="59"/>
      <c r="H27" s="29"/>
      <c r="I27" s="5"/>
      <c r="J27" s="6"/>
    </row>
    <row r="28" spans="1:10" customFormat="1" ht="15" customHeight="1">
      <c r="A28" s="22"/>
      <c r="B28" s="25"/>
      <c r="C28" s="85"/>
      <c r="D28" s="81"/>
      <c r="E28" s="81"/>
      <c r="F28" s="86" t="s">
        <v>85</v>
      </c>
      <c r="G28" s="60">
        <f>SUM(G22:G26)</f>
        <v>23631</v>
      </c>
      <c r="H28" s="29"/>
      <c r="J28" s="6"/>
    </row>
    <row r="29" spans="1:10" customFormat="1" ht="14.45">
      <c r="A29" s="22"/>
      <c r="B29" s="48"/>
      <c r="C29" s="37"/>
      <c r="D29" s="37"/>
      <c r="E29" s="37"/>
      <c r="F29" s="59"/>
      <c r="G29" s="59"/>
      <c r="H29" s="29"/>
      <c r="I29" s="5"/>
      <c r="J29" s="6"/>
    </row>
    <row r="30" spans="1:10" customFormat="1" ht="14.45">
      <c r="A30" s="22"/>
      <c r="B30" s="45">
        <v>3.3</v>
      </c>
      <c r="C30" s="55" t="s">
        <v>52</v>
      </c>
      <c r="D30" s="37"/>
      <c r="E30" s="37"/>
      <c r="F30" s="59"/>
      <c r="G30" s="59"/>
      <c r="H30" s="29"/>
      <c r="I30" s="5"/>
      <c r="J30" s="6"/>
    </row>
    <row r="31" spans="1:10" customFormat="1" ht="14.45">
      <c r="A31" s="22"/>
      <c r="B31" s="48"/>
      <c r="C31" s="37"/>
      <c r="D31" s="37"/>
      <c r="E31" s="37"/>
      <c r="F31" s="59"/>
      <c r="G31" s="59"/>
      <c r="H31" s="29"/>
      <c r="I31" s="5"/>
      <c r="J31" s="6"/>
    </row>
    <row r="32" spans="1:10" customFormat="1" ht="14.45">
      <c r="A32" s="22"/>
      <c r="B32" s="48"/>
      <c r="C32" s="37" t="s">
        <v>111</v>
      </c>
      <c r="D32" s="37">
        <v>173</v>
      </c>
      <c r="E32" s="37" t="s">
        <v>6</v>
      </c>
      <c r="F32" s="59">
        <v>133</v>
      </c>
      <c r="G32" s="59">
        <f>D32*F32</f>
        <v>23009</v>
      </c>
      <c r="H32" s="29"/>
      <c r="I32" s="5"/>
      <c r="J32" s="6"/>
    </row>
    <row r="33" spans="1:11" customFormat="1" ht="14.45">
      <c r="A33" s="22"/>
      <c r="B33" s="48"/>
      <c r="C33" s="37"/>
      <c r="D33" s="37"/>
      <c r="E33" s="37"/>
      <c r="F33" s="59"/>
      <c r="G33" s="59"/>
      <c r="H33" s="29"/>
      <c r="I33" s="5"/>
      <c r="J33" s="6"/>
    </row>
    <row r="34" spans="1:11" customFormat="1" ht="14.45">
      <c r="A34" s="22"/>
      <c r="B34" s="48"/>
      <c r="C34" s="37" t="s">
        <v>112</v>
      </c>
      <c r="D34" s="37">
        <v>136</v>
      </c>
      <c r="E34" s="37" t="s">
        <v>109</v>
      </c>
      <c r="F34" s="59">
        <v>18</v>
      </c>
      <c r="G34" s="59">
        <f>D34*F34</f>
        <v>2448</v>
      </c>
      <c r="H34" s="29"/>
      <c r="I34" s="5"/>
      <c r="J34" s="6"/>
    </row>
    <row r="35" spans="1:11" customFormat="1" ht="14.45">
      <c r="A35" s="22"/>
      <c r="B35" s="62"/>
      <c r="C35" s="37"/>
      <c r="D35" s="37"/>
      <c r="E35" s="37"/>
      <c r="F35" s="59"/>
      <c r="G35" s="59"/>
      <c r="H35" s="29"/>
      <c r="I35" s="5"/>
      <c r="J35" s="6"/>
    </row>
    <row r="36" spans="1:11" customFormat="1" ht="14.45">
      <c r="A36" s="22"/>
      <c r="B36" s="62"/>
      <c r="C36" s="37" t="s">
        <v>113</v>
      </c>
      <c r="D36" s="37"/>
      <c r="E36" s="37"/>
      <c r="F36" s="59">
        <v>0</v>
      </c>
      <c r="G36" s="59">
        <f>D36*F36</f>
        <v>0</v>
      </c>
      <c r="H36" s="29"/>
      <c r="I36" s="5"/>
      <c r="J36" s="6"/>
    </row>
    <row r="37" spans="1:11" customFormat="1" ht="14.45">
      <c r="A37" s="22"/>
      <c r="B37" s="62"/>
      <c r="C37" s="37"/>
      <c r="D37" s="37"/>
      <c r="E37" s="37"/>
      <c r="F37" s="59"/>
      <c r="G37" s="59"/>
      <c r="H37" s="29"/>
      <c r="I37" s="5"/>
      <c r="J37" s="6"/>
    </row>
    <row r="38" spans="1:11" customFormat="1" ht="15" customHeight="1">
      <c r="A38" s="22"/>
      <c r="B38" s="25"/>
      <c r="C38" s="85"/>
      <c r="D38" s="81"/>
      <c r="E38" s="81"/>
      <c r="F38" s="86" t="s">
        <v>85</v>
      </c>
      <c r="G38" s="60">
        <f>SUM(G32:G34)</f>
        <v>25457</v>
      </c>
      <c r="H38" s="29"/>
      <c r="J38" s="6"/>
    </row>
    <row r="39" spans="1:11" customFormat="1" ht="15" customHeight="1">
      <c r="A39" s="22"/>
      <c r="B39" s="30"/>
      <c r="C39" s="32"/>
      <c r="D39" s="32"/>
      <c r="E39" s="32"/>
      <c r="F39" s="61"/>
      <c r="G39" s="61"/>
      <c r="H39" s="29"/>
      <c r="J39" s="6"/>
    </row>
    <row r="40" spans="1:11" customFormat="1" ht="15" customHeight="1">
      <c r="A40" s="22"/>
      <c r="B40" s="24"/>
      <c r="C40" s="50"/>
      <c r="D40" s="50"/>
      <c r="E40" s="50"/>
      <c r="F40" s="50"/>
      <c r="G40" s="50"/>
      <c r="H40" s="29"/>
      <c r="J40" s="6"/>
    </row>
    <row r="41" spans="1:11">
      <c r="C41" s="14"/>
      <c r="D41" s="14"/>
      <c r="E41" s="14"/>
      <c r="F41" s="14"/>
      <c r="G41" s="14"/>
      <c r="H41" s="12"/>
      <c r="J41" s="6"/>
      <c r="K41"/>
    </row>
    <row r="42" spans="1:11">
      <c r="C42" s="14"/>
      <c r="D42" s="14"/>
      <c r="E42" s="14"/>
      <c r="F42" s="14"/>
      <c r="G42" s="14"/>
      <c r="H42" s="12"/>
      <c r="J42" s="6"/>
      <c r="K42"/>
    </row>
    <row r="43" spans="1:11">
      <c r="C43" s="14"/>
      <c r="D43" s="14"/>
      <c r="E43" s="14"/>
      <c r="F43" s="14"/>
      <c r="G43" s="14"/>
      <c r="H43" s="12"/>
      <c r="J43" s="6"/>
      <c r="K43"/>
    </row>
    <row r="44" spans="1:11">
      <c r="C44" s="14"/>
      <c r="D44" s="14"/>
      <c r="E44" s="14"/>
      <c r="F44" s="14"/>
      <c r="G44" s="14"/>
      <c r="H44" s="12"/>
      <c r="J44" s="6"/>
      <c r="K44"/>
    </row>
    <row r="45" spans="1:11">
      <c r="C45" s="14"/>
      <c r="D45" s="14"/>
      <c r="E45" s="14"/>
      <c r="F45" s="14"/>
      <c r="G45" s="14"/>
      <c r="H45" s="12"/>
      <c r="J45" s="6"/>
      <c r="K45"/>
    </row>
    <row r="46" spans="1:11">
      <c r="C46" s="14"/>
      <c r="D46" s="14"/>
      <c r="E46" s="14"/>
      <c r="F46" s="14"/>
      <c r="G46" s="14"/>
      <c r="H46" s="12"/>
      <c r="J46" s="6"/>
      <c r="K46"/>
    </row>
    <row r="47" spans="1:11">
      <c r="C47" s="14"/>
      <c r="D47" s="14"/>
      <c r="E47" s="14"/>
      <c r="F47" s="14"/>
      <c r="G47" s="14"/>
      <c r="H47" s="12"/>
      <c r="J47" s="6"/>
      <c r="K47"/>
    </row>
    <row r="48" spans="1:11">
      <c r="C48" s="14"/>
      <c r="D48" s="14"/>
      <c r="E48" s="14"/>
      <c r="F48" s="14"/>
      <c r="G48" s="14"/>
      <c r="H48" s="12"/>
      <c r="J48" s="6"/>
      <c r="K48"/>
    </row>
    <row r="49" spans="10:11">
      <c r="J49" s="6"/>
      <c r="K49"/>
    </row>
    <row r="50" spans="10:11">
      <c r="J50" s="6"/>
      <c r="K50"/>
    </row>
    <row r="51" spans="10:11">
      <c r="J51" s="6"/>
      <c r="K51"/>
    </row>
    <row r="52" spans="10:11">
      <c r="J52" s="6"/>
      <c r="K52"/>
    </row>
    <row r="53" spans="10:11">
      <c r="J53" s="6"/>
      <c r="K53"/>
    </row>
    <row r="54" spans="10:11">
      <c r="J54" s="6"/>
      <c r="K54"/>
    </row>
    <row r="55" spans="10:11">
      <c r="J55" s="6"/>
      <c r="K55"/>
    </row>
    <row r="56" spans="10:11">
      <c r="J56" s="6"/>
      <c r="K56"/>
    </row>
    <row r="57" spans="10:11">
      <c r="J57" s="6"/>
      <c r="K57"/>
    </row>
    <row r="58" spans="10:11">
      <c r="J58" s="6"/>
      <c r="K58"/>
    </row>
    <row r="59" spans="10:11">
      <c r="J59" s="6"/>
      <c r="K59"/>
    </row>
    <row r="60" spans="10:11">
      <c r="J60" s="6"/>
      <c r="K60"/>
    </row>
    <row r="61" spans="10:11">
      <c r="J61" s="6"/>
      <c r="K61"/>
    </row>
    <row r="62" spans="10:11">
      <c r="J62" s="6"/>
      <c r="K62"/>
    </row>
    <row r="63" spans="10:11">
      <c r="J63" s="6"/>
      <c r="K63"/>
    </row>
    <row r="64" spans="10:11">
      <c r="J64" s="6"/>
      <c r="K64"/>
    </row>
    <row r="65" spans="10:11">
      <c r="J65" s="6"/>
      <c r="K65"/>
    </row>
    <row r="66" spans="10:11">
      <c r="J66" s="6"/>
      <c r="K66"/>
    </row>
    <row r="67" spans="10:11">
      <c r="J67" s="6"/>
      <c r="K67"/>
    </row>
    <row r="68" spans="10:11">
      <c r="J68" s="6"/>
      <c r="K68"/>
    </row>
    <row r="69" spans="10:11">
      <c r="J69" s="6"/>
      <c r="K69"/>
    </row>
    <row r="70" spans="10:11">
      <c r="J70" s="6"/>
      <c r="K70"/>
    </row>
    <row r="71" spans="10:11">
      <c r="J71" s="6"/>
      <c r="K71"/>
    </row>
    <row r="72" spans="10:11">
      <c r="J72" s="6"/>
      <c r="K72"/>
    </row>
    <row r="73" spans="10:11">
      <c r="J73" s="6"/>
      <c r="K73"/>
    </row>
    <row r="74" spans="10:11">
      <c r="J74" s="6"/>
      <c r="K74"/>
    </row>
    <row r="75" spans="10:11">
      <c r="J75" s="6"/>
      <c r="K75"/>
    </row>
    <row r="76" spans="10:11">
      <c r="J76" s="6"/>
      <c r="K76"/>
    </row>
    <row r="77" spans="10:11">
      <c r="J77"/>
      <c r="K77"/>
    </row>
    <row r="78" spans="10:11">
      <c r="J78"/>
      <c r="K78"/>
    </row>
    <row r="79" spans="10:11">
      <c r="J79"/>
      <c r="K79"/>
    </row>
    <row r="80" spans="10:11">
      <c r="J80"/>
      <c r="K80"/>
    </row>
    <row r="81" spans="10:11">
      <c r="J81"/>
      <c r="K81"/>
    </row>
    <row r="82" spans="10:11">
      <c r="J82"/>
      <c r="K82"/>
    </row>
    <row r="83" spans="10:11">
      <c r="J83"/>
      <c r="K83"/>
    </row>
    <row r="84" spans="10:11">
      <c r="J84"/>
      <c r="K84"/>
    </row>
    <row r="85" spans="10:11">
      <c r="J85"/>
      <c r="K85"/>
    </row>
    <row r="86" spans="10:11">
      <c r="K86"/>
    </row>
    <row r="87" spans="10:11">
      <c r="K87"/>
    </row>
    <row r="88" spans="10:11">
      <c r="K88"/>
    </row>
    <row r="89" spans="10:11">
      <c r="K89"/>
    </row>
    <row r="90" spans="10:11">
      <c r="K90"/>
    </row>
    <row r="91" spans="10:11">
      <c r="K91"/>
    </row>
    <row r="92" spans="10:11">
      <c r="K92"/>
    </row>
    <row r="93" spans="10:11">
      <c r="K93"/>
    </row>
    <row r="94" spans="10:11">
      <c r="K94"/>
    </row>
    <row r="95" spans="10:11">
      <c r="K95"/>
    </row>
    <row r="96" spans="10:11">
      <c r="K96"/>
    </row>
    <row r="97" spans="11:11">
      <c r="K97"/>
    </row>
    <row r="98" spans="11:11">
      <c r="K98"/>
    </row>
    <row r="99" spans="11:11">
      <c r="K99"/>
    </row>
    <row r="100" spans="11:11">
      <c r="K100"/>
    </row>
    <row r="101" spans="11:11">
      <c r="K101"/>
    </row>
    <row r="102" spans="11:11">
      <c r="K102"/>
    </row>
    <row r="103" spans="11:11">
      <c r="K103"/>
    </row>
    <row r="104" spans="11:11">
      <c r="K104"/>
    </row>
    <row r="105" spans="11:11">
      <c r="K105"/>
    </row>
    <row r="106" spans="11:11">
      <c r="K106"/>
    </row>
    <row r="107" spans="11:11">
      <c r="K107"/>
    </row>
    <row r="108" spans="11:11">
      <c r="K108"/>
    </row>
    <row r="109" spans="11:11">
      <c r="K109"/>
    </row>
    <row r="110" spans="11:11">
      <c r="K110"/>
    </row>
    <row r="111" spans="11:11">
      <c r="K111"/>
    </row>
    <row r="112" spans="11:11">
      <c r="K112"/>
    </row>
    <row r="113" spans="11:11">
      <c r="K113"/>
    </row>
    <row r="114" spans="11:11">
      <c r="K114"/>
    </row>
    <row r="115" spans="11:11">
      <c r="K115"/>
    </row>
    <row r="116" spans="11:11">
      <c r="K116"/>
    </row>
    <row r="117" spans="11:11">
      <c r="K117"/>
    </row>
    <row r="118" spans="11:11">
      <c r="K118"/>
    </row>
    <row r="119" spans="11:11">
      <c r="K119"/>
    </row>
    <row r="120" spans="11:11">
      <c r="K120"/>
    </row>
    <row r="121" spans="11:11">
      <c r="K121"/>
    </row>
    <row r="122" spans="11:11">
      <c r="K122"/>
    </row>
    <row r="123" spans="11:11">
      <c r="K123"/>
    </row>
    <row r="124" spans="11:11">
      <c r="K124"/>
    </row>
    <row r="125" spans="11:11">
      <c r="K125"/>
    </row>
    <row r="126" spans="11:11">
      <c r="K126"/>
    </row>
    <row r="127" spans="11:11">
      <c r="K127"/>
    </row>
    <row r="128" spans="11:11">
      <c r="K128"/>
    </row>
    <row r="129" spans="11:11">
      <c r="K129"/>
    </row>
    <row r="130" spans="11:11">
      <c r="K130"/>
    </row>
    <row r="131" spans="11:11">
      <c r="K131"/>
    </row>
    <row r="132" spans="11:11">
      <c r="K132"/>
    </row>
    <row r="133" spans="11:11">
      <c r="K133"/>
    </row>
    <row r="134" spans="11:11">
      <c r="K134"/>
    </row>
    <row r="135" spans="11:11">
      <c r="K135"/>
    </row>
    <row r="136" spans="11:11">
      <c r="K136"/>
    </row>
    <row r="137" spans="11:11">
      <c r="K137"/>
    </row>
    <row r="138" spans="11:11">
      <c r="K138"/>
    </row>
    <row r="139" spans="11:11">
      <c r="K139"/>
    </row>
    <row r="140" spans="11:11">
      <c r="K140"/>
    </row>
    <row r="141" spans="11:11">
      <c r="K141"/>
    </row>
    <row r="142" spans="11:11">
      <c r="K142"/>
    </row>
    <row r="143" spans="11:11">
      <c r="K143"/>
    </row>
    <row r="144" spans="11:11">
      <c r="K144"/>
    </row>
    <row r="145" spans="11:11">
      <c r="K145"/>
    </row>
    <row r="146" spans="11:11">
      <c r="K146"/>
    </row>
    <row r="147" spans="11:11">
      <c r="K147"/>
    </row>
    <row r="148" spans="11:11">
      <c r="K148"/>
    </row>
    <row r="149" spans="11:11">
      <c r="K149"/>
    </row>
    <row r="150" spans="11:11">
      <c r="K150"/>
    </row>
    <row r="151" spans="11:11">
      <c r="K151"/>
    </row>
    <row r="152" spans="11:11">
      <c r="K152"/>
    </row>
    <row r="153" spans="11:11">
      <c r="K153"/>
    </row>
    <row r="154" spans="11:11">
      <c r="K154"/>
    </row>
    <row r="155" spans="11:11">
      <c r="K155"/>
    </row>
    <row r="156" spans="11:11">
      <c r="K156"/>
    </row>
    <row r="157" spans="11:11">
      <c r="K157"/>
    </row>
    <row r="158" spans="11:11">
      <c r="K158"/>
    </row>
    <row r="159" spans="11:11">
      <c r="K159"/>
    </row>
    <row r="160" spans="11:11">
      <c r="K160"/>
    </row>
    <row r="161" spans="11:11">
      <c r="K161"/>
    </row>
    <row r="162" spans="11:11">
      <c r="K162"/>
    </row>
    <row r="163" spans="11:11">
      <c r="K163"/>
    </row>
    <row r="164" spans="11:11">
      <c r="K164"/>
    </row>
    <row r="165" spans="11:11">
      <c r="K165"/>
    </row>
    <row r="166" spans="11:11">
      <c r="K166"/>
    </row>
    <row r="167" spans="11:11">
      <c r="K167"/>
    </row>
    <row r="168" spans="11:11">
      <c r="K168"/>
    </row>
    <row r="169" spans="11:11">
      <c r="K169"/>
    </row>
    <row r="170" spans="11:11">
      <c r="K170"/>
    </row>
    <row r="171" spans="11:11">
      <c r="K171"/>
    </row>
    <row r="172" spans="11:11">
      <c r="K172"/>
    </row>
    <row r="173" spans="11:11">
      <c r="K173"/>
    </row>
    <row r="174" spans="11:11">
      <c r="K174"/>
    </row>
    <row r="175" spans="11:11">
      <c r="K175"/>
    </row>
    <row r="176" spans="11:11">
      <c r="K176"/>
    </row>
    <row r="177" spans="11:11">
      <c r="K177"/>
    </row>
    <row r="178" spans="11:11">
      <c r="K178"/>
    </row>
    <row r="179" spans="11:11">
      <c r="K179"/>
    </row>
    <row r="180" spans="11:11">
      <c r="K180"/>
    </row>
    <row r="181" spans="11:11">
      <c r="K181"/>
    </row>
    <row r="182" spans="11:11">
      <c r="K182"/>
    </row>
    <row r="183" spans="11:11">
      <c r="K183"/>
    </row>
    <row r="184" spans="11:11">
      <c r="K184"/>
    </row>
    <row r="185" spans="11:11">
      <c r="K185"/>
    </row>
    <row r="186" spans="11:11">
      <c r="K186"/>
    </row>
    <row r="187" spans="11:11">
      <c r="K187"/>
    </row>
    <row r="188" spans="11:11">
      <c r="K188"/>
    </row>
    <row r="189" spans="11:11">
      <c r="K189"/>
    </row>
    <row r="190" spans="11:11">
      <c r="K190"/>
    </row>
    <row r="191" spans="11:11">
      <c r="K191"/>
    </row>
    <row r="192" spans="11:11">
      <c r="K192"/>
    </row>
    <row r="193" spans="11:11">
      <c r="K193"/>
    </row>
    <row r="194" spans="11:11">
      <c r="K194"/>
    </row>
    <row r="195" spans="11:11">
      <c r="K195"/>
    </row>
    <row r="196" spans="11:11">
      <c r="K196"/>
    </row>
    <row r="197" spans="11:11">
      <c r="K197"/>
    </row>
    <row r="198" spans="11:11">
      <c r="K198"/>
    </row>
    <row r="199" spans="11:11">
      <c r="K199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DB20-3620-4710-8B1A-550458FBDB2E}">
  <sheetPr>
    <pageSetUpPr fitToPage="1"/>
  </sheetPr>
  <dimension ref="A1:K39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94" customWidth="1"/>
    <col min="10" max="10" width="14.28515625" style="13" customWidth="1"/>
    <col min="11" max="16384" width="8.85546875" style="13"/>
  </cols>
  <sheetData>
    <row r="1" spans="1:10" s="1" customFormat="1" ht="14.45">
      <c r="C1" s="51"/>
      <c r="D1" s="2"/>
      <c r="E1" s="2"/>
      <c r="F1" s="2"/>
      <c r="G1" s="2"/>
      <c r="H1" s="3"/>
      <c r="I1" s="2"/>
      <c r="J1" s="2"/>
    </row>
    <row r="2" spans="1:10" s="1" customFormat="1" ht="14.45">
      <c r="C2" s="51"/>
      <c r="D2" s="3"/>
      <c r="E2" s="2"/>
      <c r="G2" s="56" t="s">
        <v>0</v>
      </c>
      <c r="I2" s="2"/>
      <c r="J2" s="2"/>
    </row>
    <row r="3" spans="1:10" s="1" customFormat="1" ht="14.45">
      <c r="B3" s="2"/>
      <c r="C3" s="51"/>
      <c r="D3" s="3"/>
      <c r="E3" s="2"/>
      <c r="G3" s="56" t="s">
        <v>1</v>
      </c>
      <c r="I3" s="2"/>
      <c r="J3" s="2"/>
    </row>
    <row r="4" spans="1:10" s="1" customFormat="1" ht="14.45">
      <c r="B4" s="4"/>
      <c r="C4" s="52"/>
      <c r="D4" s="5"/>
      <c r="E4" s="5"/>
      <c r="F4" s="5"/>
      <c r="G4" s="5"/>
      <c r="I4" s="92"/>
      <c r="J4" s="6"/>
    </row>
    <row r="5" spans="1:10" s="7" customFormat="1">
      <c r="B5" s="8" t="s">
        <v>114</v>
      </c>
      <c r="C5" s="53"/>
      <c r="D5" s="10"/>
      <c r="E5" s="10"/>
      <c r="F5" s="10"/>
      <c r="G5" s="10"/>
      <c r="H5" s="10"/>
      <c r="I5" s="92"/>
      <c r="J5" s="6"/>
    </row>
    <row r="6" spans="1:10" s="7" customFormat="1" ht="7.5" customHeight="1">
      <c r="A6" s="68"/>
      <c r="B6" s="68"/>
      <c r="C6" s="126"/>
      <c r="D6" s="68"/>
      <c r="E6" s="68"/>
      <c r="F6" s="68"/>
      <c r="G6" s="68"/>
      <c r="H6" s="68"/>
      <c r="I6" s="92"/>
      <c r="J6" s="6"/>
    </row>
    <row r="7" spans="1:10" ht="7.15" customHeight="1">
      <c r="I7" s="92"/>
      <c r="J7" s="6"/>
    </row>
    <row r="8" spans="1:10" customFormat="1" ht="15" customHeight="1">
      <c r="A8" s="22"/>
      <c r="B8" s="49"/>
      <c r="D8" s="50"/>
      <c r="E8" s="50"/>
      <c r="F8" s="50"/>
      <c r="G8" s="17"/>
      <c r="H8" s="29"/>
      <c r="I8" s="92"/>
      <c r="J8" s="6"/>
    </row>
    <row r="9" spans="1:10" customFormat="1" ht="15" customHeight="1">
      <c r="A9" s="22"/>
      <c r="B9" s="24"/>
      <c r="C9" s="54"/>
      <c r="D9" s="127"/>
      <c r="E9" s="127"/>
      <c r="F9" s="127"/>
      <c r="G9" s="127"/>
      <c r="H9" s="29"/>
      <c r="I9" s="92"/>
      <c r="J9" s="6"/>
    </row>
    <row r="10" spans="1:1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92"/>
      <c r="J10" s="6"/>
    </row>
    <row r="11" spans="1:10" customFormat="1" ht="14.45">
      <c r="A11" s="22"/>
      <c r="B11" s="48"/>
      <c r="C11" s="37"/>
      <c r="D11" s="37"/>
      <c r="E11" s="37"/>
      <c r="F11" s="59"/>
      <c r="G11" s="59"/>
      <c r="H11" s="29"/>
      <c r="I11" s="92"/>
      <c r="J11" s="6"/>
    </row>
    <row r="12" spans="1:10" customFormat="1" ht="14.45">
      <c r="A12" s="22"/>
      <c r="B12" s="48"/>
      <c r="C12" s="55" t="s">
        <v>115</v>
      </c>
      <c r="D12" s="37"/>
      <c r="E12" s="37"/>
      <c r="F12" s="59"/>
      <c r="G12" s="59"/>
      <c r="H12" s="29"/>
      <c r="I12" s="92"/>
      <c r="J12" s="6"/>
    </row>
    <row r="13" spans="1:10" customFormat="1" ht="14.45">
      <c r="A13" s="22"/>
      <c r="B13" s="48"/>
      <c r="C13" s="37"/>
      <c r="D13" s="37"/>
      <c r="E13" s="37"/>
      <c r="F13" s="59"/>
      <c r="G13" s="59"/>
      <c r="H13" s="29"/>
      <c r="I13" s="92"/>
      <c r="J13" s="6"/>
    </row>
    <row r="14" spans="1:10" customFormat="1" ht="28.9">
      <c r="A14" s="22"/>
      <c r="B14" s="48"/>
      <c r="C14" s="37" t="s">
        <v>116</v>
      </c>
      <c r="D14" s="37">
        <v>1</v>
      </c>
      <c r="E14" s="37" t="s">
        <v>74</v>
      </c>
      <c r="F14" s="59">
        <v>20000</v>
      </c>
      <c r="G14" s="59">
        <f>D14*F14</f>
        <v>20000</v>
      </c>
      <c r="H14" s="29"/>
      <c r="I14" s="92"/>
      <c r="J14" s="6"/>
    </row>
    <row r="15" spans="1:10" customFormat="1" ht="14.45">
      <c r="A15" s="22"/>
      <c r="B15" s="48"/>
      <c r="C15" s="37"/>
      <c r="D15" s="37"/>
      <c r="E15" s="37"/>
      <c r="F15" s="59"/>
      <c r="G15" s="59"/>
      <c r="H15" s="29"/>
      <c r="I15" s="92"/>
      <c r="J15" s="6"/>
    </row>
    <row r="16" spans="1:10" customFormat="1" ht="14.45">
      <c r="A16" s="22"/>
      <c r="B16" s="48"/>
      <c r="C16" s="37" t="s">
        <v>117</v>
      </c>
      <c r="D16" s="37">
        <v>1</v>
      </c>
      <c r="E16" s="37" t="s">
        <v>74</v>
      </c>
      <c r="F16" s="59">
        <v>5000</v>
      </c>
      <c r="G16" s="59">
        <f>D16*F16</f>
        <v>5000</v>
      </c>
      <c r="H16" s="29"/>
      <c r="I16" s="92"/>
      <c r="J16" s="6"/>
    </row>
    <row r="17" spans="1:11" customFormat="1" ht="14.45">
      <c r="A17" s="22"/>
      <c r="B17" s="48"/>
      <c r="C17" s="37"/>
      <c r="D17" s="37"/>
      <c r="E17" s="37"/>
      <c r="F17" s="59"/>
      <c r="G17" s="59"/>
      <c r="H17" s="29"/>
      <c r="I17" s="92"/>
      <c r="J17" s="6"/>
    </row>
    <row r="18" spans="1:11" customFormat="1" ht="14.45">
      <c r="A18" s="22"/>
      <c r="B18" s="48"/>
      <c r="C18" s="55" t="s">
        <v>36</v>
      </c>
      <c r="D18" s="37"/>
      <c r="E18" s="37"/>
      <c r="F18" s="59"/>
      <c r="G18" s="59"/>
      <c r="H18" s="29"/>
      <c r="I18" s="92"/>
      <c r="J18" s="6"/>
    </row>
    <row r="19" spans="1:11" customFormat="1" ht="14.45">
      <c r="A19" s="22"/>
      <c r="B19" s="48"/>
      <c r="C19" s="37"/>
      <c r="D19" s="37"/>
      <c r="E19" s="37"/>
      <c r="F19" s="59"/>
      <c r="G19" s="59"/>
      <c r="H19" s="29"/>
      <c r="I19" s="92"/>
      <c r="J19" s="6"/>
    </row>
    <row r="20" spans="1:11" customFormat="1" ht="14.45">
      <c r="A20" s="22"/>
      <c r="B20" s="48"/>
      <c r="C20" s="37" t="s">
        <v>118</v>
      </c>
      <c r="D20" s="37">
        <v>4</v>
      </c>
      <c r="E20" s="37" t="s">
        <v>81</v>
      </c>
      <c r="F20" s="59">
        <v>150000</v>
      </c>
      <c r="G20" s="59">
        <f>D20*F20</f>
        <v>600000</v>
      </c>
      <c r="H20" s="29"/>
      <c r="I20" s="92"/>
      <c r="J20" s="6"/>
    </row>
    <row r="21" spans="1:11" customFormat="1" ht="14.45">
      <c r="A21" s="22"/>
      <c r="B21" s="48"/>
      <c r="C21" s="37"/>
      <c r="D21" s="37"/>
      <c r="E21" s="37"/>
      <c r="F21" s="59"/>
      <c r="G21" s="59"/>
      <c r="H21" s="29"/>
      <c r="I21" s="92"/>
      <c r="J21" s="6"/>
    </row>
    <row r="22" spans="1:11" customFormat="1" ht="14.45">
      <c r="A22" s="22"/>
      <c r="B22" s="48"/>
      <c r="C22" s="37" t="s">
        <v>118</v>
      </c>
      <c r="D22" s="37">
        <v>1</v>
      </c>
      <c r="E22" s="37" t="s">
        <v>81</v>
      </c>
      <c r="F22" s="59">
        <v>100000</v>
      </c>
      <c r="G22" s="59">
        <f>D22*F22</f>
        <v>100000</v>
      </c>
      <c r="H22" s="29"/>
      <c r="I22" s="92"/>
      <c r="J22" s="6"/>
    </row>
    <row r="23" spans="1:11" customFormat="1" ht="14.45">
      <c r="A23" s="22"/>
      <c r="B23" s="48"/>
      <c r="C23" s="37"/>
      <c r="D23" s="37"/>
      <c r="E23" s="37"/>
      <c r="F23" s="59"/>
      <c r="G23" s="59"/>
      <c r="H23" s="29"/>
      <c r="I23" s="92"/>
      <c r="J23" s="6"/>
    </row>
    <row r="24" spans="1:11" customFormat="1" ht="28.9">
      <c r="A24" s="22"/>
      <c r="B24" s="48"/>
      <c r="C24" s="37" t="s">
        <v>119</v>
      </c>
      <c r="D24" s="37">
        <v>1</v>
      </c>
      <c r="E24" s="37" t="s">
        <v>74</v>
      </c>
      <c r="F24" s="59">
        <v>20000</v>
      </c>
      <c r="G24" s="59">
        <f>D24*F24</f>
        <v>20000</v>
      </c>
      <c r="H24" s="29"/>
      <c r="I24" s="92"/>
      <c r="J24" s="6"/>
    </row>
    <row r="25" spans="1:11" customFormat="1" ht="14.45">
      <c r="A25" s="22"/>
      <c r="B25" s="48"/>
      <c r="C25" s="37"/>
      <c r="D25" s="37"/>
      <c r="E25" s="37"/>
      <c r="F25" s="59"/>
      <c r="G25" s="59"/>
      <c r="H25" s="29"/>
      <c r="I25" s="92"/>
      <c r="J25" s="6"/>
    </row>
    <row r="26" spans="1:11" customFormat="1" ht="14.45">
      <c r="A26" s="22"/>
      <c r="B26" s="62"/>
      <c r="C26" s="37" t="s">
        <v>120</v>
      </c>
      <c r="D26" s="37">
        <v>1</v>
      </c>
      <c r="E26" s="37" t="s">
        <v>74</v>
      </c>
      <c r="F26" s="59">
        <v>20000</v>
      </c>
      <c r="G26" s="59">
        <f>D26*F26</f>
        <v>20000</v>
      </c>
      <c r="H26" s="29"/>
      <c r="I26" s="92"/>
      <c r="J26" s="6"/>
    </row>
    <row r="27" spans="1:11" customFormat="1" ht="14.45">
      <c r="A27" s="22"/>
      <c r="B27" s="62"/>
      <c r="C27" s="37"/>
      <c r="D27" s="37"/>
      <c r="E27" s="37"/>
      <c r="F27" s="59"/>
      <c r="G27" s="59"/>
      <c r="H27" s="29"/>
      <c r="I27" s="92"/>
      <c r="J27" s="6"/>
    </row>
    <row r="28" spans="1:11" customFormat="1" ht="14.45">
      <c r="A28" s="22"/>
      <c r="B28" s="62"/>
      <c r="C28" s="37"/>
      <c r="D28" s="37"/>
      <c r="E28" s="37"/>
      <c r="F28" s="59"/>
      <c r="G28" s="59"/>
      <c r="H28" s="29"/>
      <c r="I28" s="92"/>
      <c r="J28" s="6"/>
    </row>
    <row r="29" spans="1:11" customFormat="1" ht="15" customHeight="1">
      <c r="A29" s="22"/>
      <c r="B29" s="25"/>
      <c r="C29" s="85"/>
      <c r="D29" s="81"/>
      <c r="E29" s="81"/>
      <c r="F29" s="86" t="s">
        <v>85</v>
      </c>
      <c r="G29" s="60">
        <f>SUM(G14:G26)</f>
        <v>765000</v>
      </c>
      <c r="H29" s="29"/>
      <c r="I29" s="93"/>
      <c r="K29" s="74"/>
    </row>
    <row r="30" spans="1:11" customFormat="1" ht="15" customHeight="1">
      <c r="A30" s="22"/>
      <c r="B30" s="30"/>
      <c r="C30" s="32"/>
      <c r="D30" s="32"/>
      <c r="E30" s="32"/>
      <c r="F30" s="61"/>
      <c r="G30" s="61"/>
      <c r="H30" s="29"/>
      <c r="I30" s="93"/>
      <c r="K30" s="74"/>
    </row>
    <row r="31" spans="1:11" customFormat="1" ht="15" customHeight="1">
      <c r="A31" s="22"/>
      <c r="B31" s="24"/>
      <c r="C31" s="50"/>
      <c r="D31" s="50"/>
      <c r="E31" s="50"/>
      <c r="F31" s="50"/>
      <c r="G31" s="50"/>
      <c r="H31" s="29"/>
      <c r="I31" s="93"/>
      <c r="K31" s="74"/>
    </row>
    <row r="32" spans="1:11">
      <c r="C32" s="14"/>
      <c r="D32" s="14"/>
      <c r="E32" s="14"/>
      <c r="F32" s="14"/>
      <c r="G32" s="14"/>
      <c r="H32" s="12"/>
      <c r="J32"/>
      <c r="K32" s="74"/>
    </row>
    <row r="33" spans="3:11">
      <c r="C33" s="14"/>
      <c r="D33" s="14"/>
      <c r="E33" s="14"/>
      <c r="F33" s="14"/>
      <c r="G33" s="14"/>
      <c r="H33" s="12"/>
      <c r="J33"/>
      <c r="K33" s="74"/>
    </row>
    <row r="34" spans="3:11">
      <c r="C34" s="14"/>
      <c r="D34" s="14"/>
      <c r="E34" s="14"/>
      <c r="F34" s="14"/>
      <c r="G34" s="14"/>
      <c r="H34" s="12"/>
      <c r="J34"/>
      <c r="K34" s="74"/>
    </row>
    <row r="35" spans="3:11">
      <c r="C35" s="14"/>
      <c r="D35" s="14"/>
      <c r="E35" s="14"/>
      <c r="F35" s="14"/>
      <c r="G35" s="14"/>
      <c r="H35" s="12"/>
      <c r="J35"/>
      <c r="K35" s="74"/>
    </row>
    <row r="36" spans="3:11">
      <c r="C36" s="14"/>
      <c r="D36" s="14"/>
      <c r="E36" s="14"/>
      <c r="F36" s="14"/>
      <c r="G36" s="14"/>
      <c r="H36" s="12"/>
      <c r="J36"/>
      <c r="K36" s="74"/>
    </row>
    <row r="37" spans="3:11">
      <c r="C37" s="14"/>
      <c r="D37" s="14"/>
      <c r="E37" s="14"/>
      <c r="F37" s="14"/>
      <c r="G37" s="14"/>
      <c r="H37" s="12"/>
      <c r="J37"/>
      <c r="K37" s="74"/>
    </row>
    <row r="38" spans="3:11">
      <c r="C38" s="14"/>
      <c r="D38" s="14"/>
      <c r="E38" s="14"/>
      <c r="F38" s="14"/>
      <c r="G38" s="14"/>
      <c r="H38" s="12"/>
      <c r="K38" s="74"/>
    </row>
    <row r="39" spans="3:11">
      <c r="C39" s="14"/>
      <c r="D39" s="14"/>
      <c r="E39" s="14"/>
      <c r="F39" s="14"/>
      <c r="G39" s="14"/>
      <c r="H39" s="12"/>
      <c r="K39" s="74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70E8-FBA6-44CA-9D59-6D50AFD9AED6}">
  <sheetPr>
    <pageSetUpPr fitToPage="1"/>
  </sheetPr>
  <dimension ref="A1:J97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94" customWidth="1"/>
    <col min="10" max="10" width="5.85546875" style="13" customWidth="1"/>
    <col min="11" max="16384" width="8.85546875" style="13"/>
  </cols>
  <sheetData>
    <row r="1" spans="1:10" s="1" customFormat="1" ht="14.45">
      <c r="C1" s="51"/>
      <c r="D1" s="2"/>
      <c r="E1" s="2"/>
      <c r="F1" s="2"/>
      <c r="G1" s="2"/>
      <c r="H1" s="3"/>
      <c r="I1" s="2"/>
      <c r="J1" s="2"/>
    </row>
    <row r="2" spans="1:10" s="1" customFormat="1" ht="14.45">
      <c r="C2" s="51"/>
      <c r="D2" s="3"/>
      <c r="E2" s="2"/>
      <c r="G2" s="56" t="s">
        <v>0</v>
      </c>
      <c r="I2" s="2"/>
      <c r="J2" s="2"/>
    </row>
    <row r="3" spans="1:10" s="1" customFormat="1" ht="14.45">
      <c r="B3" s="2"/>
      <c r="C3" s="51"/>
      <c r="D3" s="3"/>
      <c r="E3" s="2"/>
      <c r="G3" s="56" t="s">
        <v>1</v>
      </c>
      <c r="I3" s="2"/>
      <c r="J3" s="2"/>
    </row>
    <row r="4" spans="1:10" s="1" customFormat="1" ht="14.45">
      <c r="B4" s="4"/>
      <c r="C4" s="52"/>
      <c r="D4" s="5"/>
      <c r="E4" s="5"/>
      <c r="F4" s="5"/>
      <c r="G4" s="5"/>
      <c r="I4" s="92"/>
      <c r="J4" s="6"/>
    </row>
    <row r="5" spans="1:10" s="7" customFormat="1">
      <c r="B5" s="8" t="s">
        <v>121</v>
      </c>
      <c r="C5" s="53"/>
      <c r="D5" s="10"/>
      <c r="E5" s="10"/>
      <c r="F5" s="10"/>
      <c r="G5" s="10"/>
      <c r="H5" s="10"/>
      <c r="I5" s="92"/>
      <c r="J5" s="6"/>
    </row>
    <row r="6" spans="1:10" s="7" customFormat="1" ht="7.5" customHeight="1">
      <c r="A6" s="68"/>
      <c r="B6" s="68"/>
      <c r="C6" s="126"/>
      <c r="D6" s="68"/>
      <c r="E6" s="68"/>
      <c r="F6" s="68"/>
      <c r="G6" s="68"/>
      <c r="H6" s="68"/>
      <c r="I6" s="92"/>
      <c r="J6" s="6"/>
    </row>
    <row r="7" spans="1:10" ht="7.15" customHeight="1">
      <c r="I7" s="92"/>
      <c r="J7" s="6"/>
    </row>
    <row r="8" spans="1:10" customFormat="1" ht="15" customHeight="1">
      <c r="A8" s="22"/>
      <c r="B8" s="49"/>
      <c r="D8" s="50"/>
      <c r="E8" s="50"/>
      <c r="F8" s="50"/>
      <c r="G8" s="17"/>
      <c r="H8" s="29"/>
      <c r="I8" s="92"/>
      <c r="J8" s="6"/>
    </row>
    <row r="9" spans="1:10" customFormat="1" ht="15" customHeight="1">
      <c r="A9" s="22"/>
      <c r="B9" s="24"/>
      <c r="C9" s="54"/>
      <c r="D9" s="127"/>
      <c r="E9" s="127"/>
      <c r="F9" s="127"/>
      <c r="G9" s="127"/>
      <c r="H9" s="29"/>
      <c r="I9" s="92"/>
      <c r="J9" s="6"/>
    </row>
    <row r="10" spans="1:1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92"/>
      <c r="J10" s="6"/>
    </row>
    <row r="11" spans="1:10" customFormat="1" ht="14.45">
      <c r="A11" s="22"/>
      <c r="B11" s="48"/>
      <c r="C11" s="37"/>
      <c r="D11" s="37"/>
      <c r="E11" s="37"/>
      <c r="F11" s="59"/>
      <c r="G11" s="59"/>
      <c r="H11" s="29"/>
      <c r="I11" s="92"/>
      <c r="J11" s="6"/>
    </row>
    <row r="12" spans="1:10" customFormat="1" ht="14.45">
      <c r="A12" s="22"/>
      <c r="B12" s="48"/>
      <c r="C12" s="55" t="s">
        <v>54</v>
      </c>
      <c r="D12" s="37"/>
      <c r="E12" s="37"/>
      <c r="F12" s="59"/>
      <c r="G12" s="59"/>
      <c r="H12" s="29"/>
      <c r="I12" s="92"/>
      <c r="J12" s="6"/>
    </row>
    <row r="13" spans="1:10" customFormat="1" ht="14.45">
      <c r="A13" s="22"/>
      <c r="B13" s="48"/>
      <c r="C13" s="55"/>
      <c r="D13" s="37"/>
      <c r="E13" s="37"/>
      <c r="F13" s="59"/>
      <c r="G13" s="59"/>
      <c r="H13" s="29"/>
      <c r="I13" s="92"/>
      <c r="J13" s="6"/>
    </row>
    <row r="14" spans="1:10" customFormat="1" ht="14.45">
      <c r="A14" s="22"/>
      <c r="B14" s="48"/>
      <c r="C14" s="37" t="s">
        <v>122</v>
      </c>
      <c r="D14" s="37">
        <v>1</v>
      </c>
      <c r="E14" s="37" t="s">
        <v>74</v>
      </c>
      <c r="F14" s="59">
        <v>3000</v>
      </c>
      <c r="G14" s="59">
        <f>D14*F14</f>
        <v>3000</v>
      </c>
      <c r="H14" s="29"/>
      <c r="I14" s="92"/>
      <c r="J14" s="6"/>
    </row>
    <row r="15" spans="1:10" customFormat="1" ht="14.45">
      <c r="A15" s="22"/>
      <c r="B15" s="48"/>
      <c r="C15" s="55"/>
      <c r="D15" s="37"/>
      <c r="E15" s="37"/>
      <c r="F15" s="59"/>
      <c r="G15" s="59"/>
      <c r="H15" s="29"/>
      <c r="I15" s="92"/>
      <c r="J15" s="6"/>
    </row>
    <row r="16" spans="1:10" customFormat="1" ht="15" customHeight="1">
      <c r="A16" s="22"/>
      <c r="B16" s="25"/>
      <c r="C16" s="85"/>
      <c r="D16" s="81"/>
      <c r="E16" s="81"/>
      <c r="F16" s="86" t="s">
        <v>85</v>
      </c>
      <c r="G16" s="60">
        <f>SUM(G13:G15)</f>
        <v>3000</v>
      </c>
      <c r="H16" s="29"/>
      <c r="I16" s="93"/>
      <c r="J16" s="6"/>
    </row>
    <row r="17" spans="1:10" customFormat="1" ht="14.45">
      <c r="A17" s="22"/>
      <c r="B17" s="48"/>
      <c r="C17" s="55"/>
      <c r="D17" s="37"/>
      <c r="E17" s="37"/>
      <c r="F17" s="59"/>
      <c r="G17" s="59"/>
      <c r="H17" s="29"/>
      <c r="I17" s="92"/>
      <c r="J17" s="6"/>
    </row>
    <row r="18" spans="1:10" customFormat="1" ht="14.45">
      <c r="A18" s="22"/>
      <c r="B18" s="48"/>
      <c r="C18" s="55" t="s">
        <v>55</v>
      </c>
      <c r="D18" s="37"/>
      <c r="E18" s="37"/>
      <c r="F18" s="59"/>
      <c r="G18" s="59"/>
      <c r="H18" s="29"/>
      <c r="I18" s="92"/>
      <c r="J18" s="6"/>
    </row>
    <row r="19" spans="1:10" customFormat="1" ht="14.45">
      <c r="A19" s="22"/>
      <c r="B19" s="48"/>
      <c r="C19" s="37"/>
      <c r="D19" s="37"/>
      <c r="E19" s="37"/>
      <c r="F19" s="59"/>
      <c r="G19" s="59"/>
      <c r="H19" s="29"/>
      <c r="I19" s="92"/>
      <c r="J19" s="6"/>
    </row>
    <row r="20" spans="1:10" customFormat="1" ht="14.45">
      <c r="A20" s="22"/>
      <c r="B20" s="48"/>
      <c r="C20" s="37" t="s">
        <v>123</v>
      </c>
      <c r="D20" s="37">
        <v>1</v>
      </c>
      <c r="E20" s="37" t="s">
        <v>74</v>
      </c>
      <c r="F20" s="59">
        <v>3000</v>
      </c>
      <c r="G20" s="59">
        <f>D20*F20</f>
        <v>3000</v>
      </c>
      <c r="H20" s="29"/>
      <c r="I20" s="92"/>
      <c r="J20" s="6"/>
    </row>
    <row r="21" spans="1:10" customFormat="1" ht="14.45">
      <c r="A21" s="22"/>
      <c r="B21" s="48"/>
      <c r="C21" s="37"/>
      <c r="D21" s="37"/>
      <c r="E21" s="37"/>
      <c r="F21" s="59"/>
      <c r="G21" s="59"/>
      <c r="H21" s="29"/>
      <c r="I21" s="92"/>
      <c r="J21" s="6"/>
    </row>
    <row r="22" spans="1:10" customFormat="1" ht="14.45">
      <c r="A22" s="22"/>
      <c r="B22" s="48"/>
      <c r="C22" s="37" t="s">
        <v>124</v>
      </c>
      <c r="D22" s="37">
        <v>1</v>
      </c>
      <c r="E22" s="37" t="s">
        <v>74</v>
      </c>
      <c r="F22" s="59">
        <v>600</v>
      </c>
      <c r="G22" s="59">
        <f>D22*F22</f>
        <v>600</v>
      </c>
      <c r="H22" s="29"/>
      <c r="I22" s="92"/>
      <c r="J22" s="6"/>
    </row>
    <row r="23" spans="1:10" customFormat="1" ht="14.45">
      <c r="A23" s="22"/>
      <c r="B23" s="48"/>
      <c r="C23" s="37"/>
      <c r="D23" s="37"/>
      <c r="E23" s="37"/>
      <c r="F23" s="59"/>
      <c r="G23" s="59"/>
      <c r="H23" s="29"/>
      <c r="I23" s="92"/>
      <c r="J23" s="6"/>
    </row>
    <row r="24" spans="1:10" customFormat="1" ht="14.45">
      <c r="A24" s="22"/>
      <c r="B24" s="48"/>
      <c r="C24" s="37" t="s">
        <v>125</v>
      </c>
      <c r="D24" s="37">
        <v>1</v>
      </c>
      <c r="E24" s="37" t="s">
        <v>74</v>
      </c>
      <c r="F24" s="59">
        <v>35000</v>
      </c>
      <c r="G24" s="59">
        <f>D24*F24</f>
        <v>35000</v>
      </c>
      <c r="H24" s="29"/>
      <c r="I24" s="92"/>
      <c r="J24" s="6"/>
    </row>
    <row r="25" spans="1:10" customFormat="1" ht="14.45">
      <c r="A25" s="22"/>
      <c r="B25" s="48"/>
      <c r="C25" s="118"/>
      <c r="D25" s="119"/>
      <c r="E25" s="119"/>
      <c r="F25" s="120"/>
      <c r="G25" s="59"/>
      <c r="H25" s="29"/>
      <c r="I25" s="92"/>
      <c r="J25" s="6"/>
    </row>
    <row r="26" spans="1:10" customFormat="1" ht="15" customHeight="1">
      <c r="A26" s="22"/>
      <c r="B26" s="25"/>
      <c r="C26" s="85"/>
      <c r="D26" s="81"/>
      <c r="E26" s="81"/>
      <c r="F26" s="86" t="s">
        <v>85</v>
      </c>
      <c r="G26" s="60">
        <f>SUM(G20:G24)</f>
        <v>38600</v>
      </c>
      <c r="H26" s="29"/>
      <c r="I26" s="93"/>
      <c r="J26" s="6"/>
    </row>
    <row r="27" spans="1:10" customFormat="1" ht="14.45">
      <c r="A27" s="22"/>
      <c r="B27" s="48"/>
      <c r="C27" s="37"/>
      <c r="D27" s="37"/>
      <c r="E27" s="37"/>
      <c r="F27" s="59"/>
      <c r="G27" s="59"/>
      <c r="H27" s="29"/>
      <c r="I27" s="92"/>
      <c r="J27" s="6"/>
    </row>
    <row r="28" spans="1:10" customFormat="1" ht="14.45">
      <c r="A28" s="22"/>
      <c r="B28" s="48"/>
      <c r="C28" s="55" t="s">
        <v>56</v>
      </c>
      <c r="D28" s="37"/>
      <c r="E28" s="37"/>
      <c r="F28" s="59"/>
      <c r="G28" s="59"/>
      <c r="H28" s="29"/>
      <c r="I28" s="92"/>
      <c r="J28" s="6"/>
    </row>
    <row r="29" spans="1:10" customFormat="1" ht="14.45">
      <c r="A29" s="22"/>
      <c r="B29" s="48"/>
      <c r="C29" s="37"/>
      <c r="D29" s="37"/>
      <c r="E29" s="37"/>
      <c r="F29" s="59"/>
      <c r="G29" s="59"/>
      <c r="H29" s="29"/>
      <c r="I29" s="92"/>
      <c r="J29" s="6"/>
    </row>
    <row r="30" spans="1:10" customFormat="1" ht="14.45">
      <c r="A30" s="22"/>
      <c r="B30" s="48"/>
      <c r="C30" s="37" t="s">
        <v>126</v>
      </c>
      <c r="D30" s="37">
        <v>1</v>
      </c>
      <c r="E30" s="37" t="s">
        <v>74</v>
      </c>
      <c r="F30" s="59">
        <v>20000</v>
      </c>
      <c r="G30" s="59">
        <f>D30*F30</f>
        <v>20000</v>
      </c>
      <c r="H30" s="29"/>
      <c r="I30" s="92"/>
      <c r="J30" s="6"/>
    </row>
    <row r="31" spans="1:10" customFormat="1" ht="14.45">
      <c r="A31" s="22"/>
      <c r="B31" s="48"/>
      <c r="C31" s="37"/>
      <c r="D31" s="37"/>
      <c r="E31" s="37"/>
      <c r="F31" s="59"/>
      <c r="G31" s="59"/>
      <c r="H31" s="29"/>
      <c r="I31" s="92"/>
      <c r="J31" s="6"/>
    </row>
    <row r="32" spans="1:10" customFormat="1" ht="28.9">
      <c r="A32" s="22"/>
      <c r="B32" s="48"/>
      <c r="C32" s="37" t="s">
        <v>127</v>
      </c>
      <c r="D32" s="37">
        <v>182</v>
      </c>
      <c r="E32" s="37" t="s">
        <v>6</v>
      </c>
      <c r="F32" s="59">
        <v>560</v>
      </c>
      <c r="G32" s="59">
        <f>D32*F32</f>
        <v>101920</v>
      </c>
      <c r="H32" s="29"/>
      <c r="I32" s="92"/>
      <c r="J32" s="6"/>
    </row>
    <row r="33" spans="1:10" customFormat="1" ht="14.45">
      <c r="A33" s="22"/>
      <c r="B33" s="48"/>
      <c r="C33" s="37"/>
      <c r="D33" s="37"/>
      <c r="E33" s="37"/>
      <c r="F33" s="59"/>
      <c r="G33" s="59"/>
      <c r="H33" s="29"/>
      <c r="I33" s="92"/>
      <c r="J33" s="6"/>
    </row>
    <row r="34" spans="1:10" customFormat="1" ht="14.45">
      <c r="A34" s="22"/>
      <c r="B34" s="48"/>
      <c r="C34" s="37" t="s">
        <v>128</v>
      </c>
      <c r="D34" s="37">
        <v>1</v>
      </c>
      <c r="E34" s="37" t="s">
        <v>74</v>
      </c>
      <c r="F34" s="59">
        <v>42000</v>
      </c>
      <c r="G34" s="59">
        <f>D34*F34</f>
        <v>42000</v>
      </c>
      <c r="H34" s="29"/>
      <c r="I34" s="92"/>
      <c r="J34" s="6"/>
    </row>
    <row r="35" spans="1:10" customFormat="1" ht="14.45">
      <c r="A35" s="22"/>
      <c r="B35" s="48"/>
      <c r="C35" s="37"/>
      <c r="D35" s="37"/>
      <c r="E35" s="37"/>
      <c r="F35" s="59"/>
      <c r="G35" s="59"/>
      <c r="H35" s="29"/>
      <c r="I35" s="92"/>
      <c r="J35" s="6"/>
    </row>
    <row r="36" spans="1:10" customFormat="1" ht="28.9">
      <c r="A36" s="22"/>
      <c r="B36" s="48"/>
      <c r="C36" s="37" t="s">
        <v>129</v>
      </c>
      <c r="D36" s="37">
        <v>1</v>
      </c>
      <c r="E36" s="37" t="s">
        <v>74</v>
      </c>
      <c r="F36" s="59">
        <v>50000</v>
      </c>
      <c r="G36" s="59">
        <f>D36*F36</f>
        <v>50000</v>
      </c>
      <c r="H36" s="29"/>
      <c r="I36" s="92"/>
      <c r="J36" s="6"/>
    </row>
    <row r="37" spans="1:10" customFormat="1" ht="14.45">
      <c r="A37" s="22"/>
      <c r="B37" s="48"/>
      <c r="C37" s="37"/>
      <c r="D37" s="37"/>
      <c r="E37" s="37"/>
      <c r="F37" s="59"/>
      <c r="G37" s="59"/>
      <c r="H37" s="29"/>
      <c r="I37" s="92"/>
      <c r="J37" s="6"/>
    </row>
    <row r="38" spans="1:10" customFormat="1" ht="14.45">
      <c r="A38" s="22"/>
      <c r="B38" s="48"/>
      <c r="C38" s="37" t="s">
        <v>130</v>
      </c>
      <c r="D38" s="37">
        <v>1</v>
      </c>
      <c r="E38" s="37" t="s">
        <v>74</v>
      </c>
      <c r="F38" s="59">
        <v>4000</v>
      </c>
      <c r="G38" s="59">
        <f>D38*F38</f>
        <v>4000</v>
      </c>
      <c r="H38" s="29"/>
      <c r="I38" s="92"/>
      <c r="J38" s="6"/>
    </row>
    <row r="39" spans="1:10" customFormat="1" ht="14.45">
      <c r="A39" s="22"/>
      <c r="B39" s="48"/>
      <c r="C39" s="118"/>
      <c r="D39" s="119"/>
      <c r="E39" s="119"/>
      <c r="F39" s="120"/>
      <c r="G39" s="59"/>
      <c r="H39" s="29"/>
      <c r="I39" s="92"/>
      <c r="J39" s="6"/>
    </row>
    <row r="40" spans="1:10" customFormat="1" ht="15" customHeight="1">
      <c r="A40" s="22"/>
      <c r="B40" s="25"/>
      <c r="C40" s="85"/>
      <c r="D40" s="81"/>
      <c r="E40" s="81"/>
      <c r="F40" s="86" t="s">
        <v>85</v>
      </c>
      <c r="G40" s="60">
        <f>SUM(G30:G38)</f>
        <v>217920</v>
      </c>
      <c r="H40" s="29"/>
      <c r="I40" s="93"/>
      <c r="J40" s="6"/>
    </row>
    <row r="41" spans="1:10" customFormat="1" ht="14.45">
      <c r="A41" s="22"/>
      <c r="B41" s="48"/>
      <c r="C41" s="55"/>
      <c r="D41" s="37"/>
      <c r="E41" s="37"/>
      <c r="F41" s="59"/>
      <c r="G41" s="59"/>
      <c r="H41" s="29"/>
      <c r="I41" s="92"/>
      <c r="J41" s="6"/>
    </row>
    <row r="42" spans="1:10" customFormat="1" ht="14.45">
      <c r="A42" s="22"/>
      <c r="B42" s="48"/>
      <c r="C42" s="55" t="s">
        <v>57</v>
      </c>
      <c r="D42" s="37"/>
      <c r="E42" s="37"/>
      <c r="F42" s="59"/>
      <c r="G42" s="59"/>
      <c r="H42" s="29"/>
      <c r="I42" s="92"/>
      <c r="J42" s="6"/>
    </row>
    <row r="43" spans="1:10" customFormat="1" ht="14.45">
      <c r="A43" s="22"/>
      <c r="B43" s="48"/>
      <c r="C43" s="37"/>
      <c r="D43" s="37"/>
      <c r="E43" s="37"/>
      <c r="F43" s="59"/>
      <c r="G43" s="59"/>
      <c r="H43" s="29"/>
      <c r="I43" s="92"/>
      <c r="J43" s="6"/>
    </row>
    <row r="44" spans="1:10" customFormat="1" ht="14.45">
      <c r="A44" s="22"/>
      <c r="B44" s="48"/>
      <c r="C44" s="37" t="s">
        <v>131</v>
      </c>
      <c r="D44" s="37">
        <v>182</v>
      </c>
      <c r="E44" s="37" t="s">
        <v>6</v>
      </c>
      <c r="F44" s="59">
        <v>420</v>
      </c>
      <c r="G44" s="59">
        <f>D44*F44</f>
        <v>76440</v>
      </c>
      <c r="H44" s="29"/>
      <c r="I44" s="92"/>
      <c r="J44" s="6"/>
    </row>
    <row r="45" spans="1:10" customFormat="1" ht="14.45">
      <c r="A45" s="22"/>
      <c r="B45" s="48"/>
      <c r="C45" s="37"/>
      <c r="D45" s="37"/>
      <c r="E45" s="37"/>
      <c r="F45" s="59"/>
      <c r="G45" s="59"/>
      <c r="H45" s="29"/>
      <c r="I45" s="92"/>
      <c r="J45" s="6"/>
    </row>
    <row r="46" spans="1:10" customFormat="1" ht="14.45">
      <c r="A46" s="22"/>
      <c r="B46" s="48"/>
      <c r="C46" s="37" t="s">
        <v>132</v>
      </c>
      <c r="D46" s="37">
        <v>182</v>
      </c>
      <c r="E46" s="37" t="s">
        <v>6</v>
      </c>
      <c r="F46" s="59">
        <v>170</v>
      </c>
      <c r="G46" s="59">
        <f>D46*F46</f>
        <v>30940</v>
      </c>
      <c r="H46" s="29"/>
      <c r="I46" s="92"/>
      <c r="J46" s="6"/>
    </row>
    <row r="47" spans="1:10" customFormat="1" ht="14.45">
      <c r="A47" s="22"/>
      <c r="B47" s="48"/>
      <c r="C47" s="37"/>
      <c r="D47" s="37"/>
      <c r="E47" s="37"/>
      <c r="F47" s="59"/>
      <c r="G47" s="59"/>
      <c r="H47" s="29"/>
      <c r="I47" s="92"/>
      <c r="J47" s="6"/>
    </row>
    <row r="48" spans="1:10" customFormat="1" ht="14.45">
      <c r="A48" s="22"/>
      <c r="B48" s="48"/>
      <c r="C48" s="37" t="s">
        <v>133</v>
      </c>
      <c r="D48" s="80"/>
      <c r="E48" s="77"/>
      <c r="F48" s="78"/>
      <c r="G48" s="101" t="s">
        <v>27</v>
      </c>
      <c r="H48" s="29"/>
      <c r="I48" s="92"/>
      <c r="J48" s="6"/>
    </row>
    <row r="49" spans="1:10" customFormat="1" ht="14.45">
      <c r="A49" s="22"/>
      <c r="B49" s="48"/>
      <c r="C49" s="118"/>
      <c r="D49" s="121"/>
      <c r="E49" s="122"/>
      <c r="F49" s="123"/>
      <c r="G49" s="101"/>
      <c r="H49" s="29"/>
      <c r="I49" s="92"/>
      <c r="J49" s="6"/>
    </row>
    <row r="50" spans="1:10" customFormat="1" ht="15" customHeight="1">
      <c r="A50" s="22"/>
      <c r="B50" s="25"/>
      <c r="C50" s="85"/>
      <c r="D50" s="81"/>
      <c r="E50" s="81"/>
      <c r="F50" s="86" t="s">
        <v>85</v>
      </c>
      <c r="G50" s="60">
        <f>SUM(G44:G48)</f>
        <v>107380</v>
      </c>
      <c r="H50" s="29"/>
      <c r="I50" s="93"/>
      <c r="J50" s="6"/>
    </row>
    <row r="51" spans="1:10" customFormat="1" ht="14.45">
      <c r="A51" s="22"/>
      <c r="B51" s="48"/>
      <c r="C51" s="37"/>
      <c r="D51" s="37"/>
      <c r="E51" s="37"/>
      <c r="F51" s="59"/>
      <c r="G51" s="59"/>
      <c r="H51" s="29"/>
      <c r="I51" s="92"/>
      <c r="J51" s="6"/>
    </row>
    <row r="52" spans="1:10" customFormat="1" ht="14.45">
      <c r="A52" s="22"/>
      <c r="B52" s="48"/>
      <c r="C52" s="55" t="s">
        <v>58</v>
      </c>
      <c r="D52" s="37"/>
      <c r="E52" s="37"/>
      <c r="F52" s="59"/>
      <c r="G52" s="59"/>
      <c r="H52" s="29"/>
      <c r="I52" s="92"/>
      <c r="J52" s="6"/>
    </row>
    <row r="53" spans="1:10" customFormat="1" ht="14.45">
      <c r="A53" s="22"/>
      <c r="B53" s="48"/>
      <c r="C53" s="37"/>
      <c r="D53" s="37"/>
      <c r="E53" s="37"/>
      <c r="F53" s="59"/>
      <c r="G53" s="59"/>
      <c r="H53" s="29"/>
      <c r="I53" s="92"/>
      <c r="J53" s="6"/>
    </row>
    <row r="54" spans="1:10" customFormat="1" ht="14.45">
      <c r="A54" s="22"/>
      <c r="B54" s="48"/>
      <c r="C54" s="37" t="s">
        <v>134</v>
      </c>
      <c r="D54" s="37">
        <v>182</v>
      </c>
      <c r="E54" s="37" t="s">
        <v>6</v>
      </c>
      <c r="F54" s="59">
        <v>165</v>
      </c>
      <c r="G54" s="59">
        <f>D54*F54</f>
        <v>30030</v>
      </c>
      <c r="H54" s="29"/>
      <c r="I54" s="92"/>
      <c r="J54" s="6"/>
    </row>
    <row r="55" spans="1:10" customFormat="1" ht="14.45">
      <c r="A55" s="22"/>
      <c r="B55" s="48"/>
      <c r="C55" s="118"/>
      <c r="D55" s="119"/>
      <c r="E55" s="119"/>
      <c r="F55" s="120"/>
      <c r="G55" s="59"/>
      <c r="H55" s="29"/>
      <c r="I55" s="92"/>
      <c r="J55" s="6"/>
    </row>
    <row r="56" spans="1:10" customFormat="1" ht="15" customHeight="1">
      <c r="A56" s="22"/>
      <c r="B56" s="25"/>
      <c r="C56" s="85"/>
      <c r="D56" s="81"/>
      <c r="E56" s="81"/>
      <c r="F56" s="86" t="s">
        <v>85</v>
      </c>
      <c r="G56" s="60">
        <f>SUM(G53:G54)</f>
        <v>30030</v>
      </c>
      <c r="H56" s="29"/>
      <c r="I56" s="93"/>
      <c r="J56" s="6"/>
    </row>
    <row r="57" spans="1:10" customFormat="1" ht="14.45">
      <c r="A57" s="22"/>
      <c r="B57" s="48"/>
      <c r="C57" s="37"/>
      <c r="D57" s="37"/>
      <c r="E57" s="37"/>
      <c r="F57" s="59"/>
      <c r="G57" s="59"/>
      <c r="H57" s="29"/>
      <c r="I57" s="92"/>
      <c r="J57" s="6"/>
    </row>
    <row r="58" spans="1:10" customFormat="1" ht="14.45">
      <c r="A58" s="22"/>
      <c r="B58" s="48"/>
      <c r="C58" s="55" t="s">
        <v>59</v>
      </c>
      <c r="D58" s="37"/>
      <c r="E58" s="37"/>
      <c r="F58" s="59"/>
      <c r="G58" s="59"/>
      <c r="H58" s="29"/>
      <c r="I58" s="92"/>
      <c r="J58" s="6"/>
    </row>
    <row r="59" spans="1:10" customFormat="1" ht="14.45">
      <c r="A59" s="22"/>
      <c r="B59" s="48"/>
      <c r="C59" s="37"/>
      <c r="D59" s="37"/>
      <c r="E59" s="37"/>
      <c r="F59" s="59"/>
      <c r="G59" s="59"/>
      <c r="H59" s="29"/>
      <c r="I59" s="92"/>
      <c r="J59" s="6"/>
    </row>
    <row r="60" spans="1:10" customFormat="1" ht="14.45">
      <c r="A60" s="22"/>
      <c r="B60" s="48"/>
      <c r="C60" s="37" t="s">
        <v>135</v>
      </c>
      <c r="D60" s="37">
        <v>3</v>
      </c>
      <c r="E60" s="37" t="s">
        <v>81</v>
      </c>
      <c r="F60" s="59">
        <v>3000</v>
      </c>
      <c r="G60" s="59">
        <f>D60*F60</f>
        <v>9000</v>
      </c>
      <c r="H60" s="29"/>
      <c r="I60" s="92"/>
      <c r="J60" s="6"/>
    </row>
    <row r="61" spans="1:10" customFormat="1" ht="14.45">
      <c r="A61" s="22"/>
      <c r="B61" s="48"/>
      <c r="C61" s="37"/>
      <c r="D61" s="37"/>
      <c r="E61" s="37"/>
      <c r="F61" s="59"/>
      <c r="G61" s="59"/>
      <c r="H61" s="29"/>
      <c r="I61" s="92"/>
      <c r="J61" s="6"/>
    </row>
    <row r="62" spans="1:10" customFormat="1" ht="14.45">
      <c r="A62" s="22"/>
      <c r="B62" s="48"/>
      <c r="C62" s="37" t="s">
        <v>136</v>
      </c>
      <c r="D62" s="37">
        <v>215</v>
      </c>
      <c r="E62" s="37" t="s">
        <v>6</v>
      </c>
      <c r="F62" s="59">
        <v>45</v>
      </c>
      <c r="G62" s="59">
        <f>D62*F62</f>
        <v>9675</v>
      </c>
      <c r="H62" s="29"/>
      <c r="I62" s="92"/>
      <c r="J62" s="6"/>
    </row>
    <row r="63" spans="1:10" customFormat="1" ht="14.45">
      <c r="A63" s="22"/>
      <c r="B63" s="48"/>
      <c r="C63" s="37"/>
      <c r="D63" s="37"/>
      <c r="E63" s="37"/>
      <c r="F63" s="59"/>
      <c r="G63" s="59"/>
      <c r="H63" s="29"/>
      <c r="I63" s="92"/>
      <c r="J63" s="6"/>
    </row>
    <row r="64" spans="1:10" customFormat="1" ht="14.45">
      <c r="A64" s="22"/>
      <c r="B64" s="48"/>
      <c r="C64" s="37" t="s">
        <v>137</v>
      </c>
      <c r="D64" s="37">
        <v>215</v>
      </c>
      <c r="E64" s="37" t="s">
        <v>6</v>
      </c>
      <c r="F64" s="59">
        <v>80</v>
      </c>
      <c r="G64" s="59">
        <f>D64*F64</f>
        <v>17200</v>
      </c>
      <c r="H64" s="29"/>
      <c r="I64" s="92"/>
      <c r="J64" s="6"/>
    </row>
    <row r="65" spans="1:10" customFormat="1" ht="14.45">
      <c r="A65" s="22"/>
      <c r="B65" s="48"/>
      <c r="C65" s="37"/>
      <c r="D65" s="37"/>
      <c r="E65" s="37"/>
      <c r="F65" s="59"/>
      <c r="G65" s="59"/>
      <c r="H65" s="29"/>
      <c r="I65" s="92"/>
      <c r="J65" s="6"/>
    </row>
    <row r="66" spans="1:10" customFormat="1" ht="14.45">
      <c r="A66" s="22"/>
      <c r="B66" s="48"/>
      <c r="C66" s="37" t="s">
        <v>138</v>
      </c>
      <c r="D66" s="37">
        <v>182</v>
      </c>
      <c r="E66" s="37" t="s">
        <v>6</v>
      </c>
      <c r="F66" s="59">
        <v>85</v>
      </c>
      <c r="G66" s="59">
        <f>D66*F66</f>
        <v>15470</v>
      </c>
      <c r="H66" s="29"/>
      <c r="I66" s="92"/>
      <c r="J66" s="6"/>
    </row>
    <row r="67" spans="1:10" customFormat="1" ht="14.45">
      <c r="A67" s="22"/>
      <c r="B67" s="48"/>
      <c r="C67" s="118"/>
      <c r="D67" s="119"/>
      <c r="E67" s="119"/>
      <c r="F67" s="120"/>
      <c r="G67" s="59"/>
      <c r="H67" s="29"/>
      <c r="I67" s="92"/>
      <c r="J67" s="6"/>
    </row>
    <row r="68" spans="1:10" customFormat="1" ht="15" customHeight="1">
      <c r="A68" s="22"/>
      <c r="B68" s="25"/>
      <c r="C68" s="85"/>
      <c r="D68" s="81"/>
      <c r="E68" s="81"/>
      <c r="F68" s="86" t="s">
        <v>85</v>
      </c>
      <c r="G68" s="60">
        <f>SUM(G60:G66)</f>
        <v>51345</v>
      </c>
      <c r="H68" s="29"/>
      <c r="I68" s="93"/>
      <c r="J68" s="6"/>
    </row>
    <row r="69" spans="1:10" customFormat="1" ht="14.45">
      <c r="A69" s="22"/>
      <c r="B69" s="48"/>
      <c r="C69" s="37"/>
      <c r="D69" s="37"/>
      <c r="E69" s="37"/>
      <c r="F69" s="59"/>
      <c r="G69" s="59"/>
      <c r="H69" s="29"/>
      <c r="I69" s="92"/>
      <c r="J69" s="6"/>
    </row>
    <row r="70" spans="1:10" customFormat="1" ht="14.45">
      <c r="A70" s="22"/>
      <c r="B70" s="48"/>
      <c r="C70" s="55" t="s">
        <v>60</v>
      </c>
      <c r="D70" s="37"/>
      <c r="E70" s="37"/>
      <c r="F70" s="59"/>
      <c r="G70" s="59"/>
      <c r="H70" s="29"/>
      <c r="I70" s="92"/>
      <c r="J70" s="6"/>
    </row>
    <row r="71" spans="1:10" customFormat="1" ht="14.45">
      <c r="A71" s="22"/>
      <c r="B71" s="48"/>
      <c r="C71" s="55"/>
      <c r="D71" s="37"/>
      <c r="E71" s="37"/>
      <c r="F71" s="59"/>
      <c r="G71" s="59"/>
      <c r="H71" s="29"/>
      <c r="I71" s="92"/>
      <c r="J71" s="6"/>
    </row>
    <row r="72" spans="1:10" customFormat="1" ht="14.45">
      <c r="A72" s="22"/>
      <c r="B72" s="48"/>
      <c r="C72" s="37" t="s">
        <v>139</v>
      </c>
      <c r="D72" s="37">
        <v>182</v>
      </c>
      <c r="E72" s="37" t="s">
        <v>6</v>
      </c>
      <c r="F72" s="59">
        <v>350</v>
      </c>
      <c r="G72" s="59">
        <f>D72*F72</f>
        <v>63700</v>
      </c>
      <c r="H72" s="29"/>
      <c r="I72" s="92"/>
      <c r="J72" s="6"/>
    </row>
    <row r="73" spans="1:10" customFormat="1" ht="14.45">
      <c r="A73" s="22"/>
      <c r="B73" s="48"/>
      <c r="C73" s="55"/>
      <c r="D73" s="37"/>
      <c r="E73" s="37"/>
      <c r="F73" s="59"/>
      <c r="G73" s="59"/>
      <c r="H73" s="29"/>
      <c r="I73" s="92"/>
      <c r="J73" s="6"/>
    </row>
    <row r="74" spans="1:10" customFormat="1" ht="15" customHeight="1">
      <c r="A74" s="22"/>
      <c r="B74" s="25"/>
      <c r="C74" s="85"/>
      <c r="D74" s="81"/>
      <c r="E74" s="81"/>
      <c r="F74" s="86" t="s">
        <v>85</v>
      </c>
      <c r="G74" s="60">
        <f>SUM(G70:G72)</f>
        <v>63700</v>
      </c>
      <c r="H74" s="29"/>
      <c r="I74" s="93"/>
      <c r="J74" s="6"/>
    </row>
    <row r="75" spans="1:10" customFormat="1" ht="14.45">
      <c r="A75" s="22"/>
      <c r="B75" s="48"/>
      <c r="C75" s="55"/>
      <c r="D75" s="37"/>
      <c r="E75" s="37"/>
      <c r="F75" s="59"/>
      <c r="G75" s="59"/>
      <c r="H75" s="29"/>
      <c r="I75" s="92"/>
      <c r="J75" s="6"/>
    </row>
    <row r="76" spans="1:10" customFormat="1" ht="14.45">
      <c r="A76" s="22"/>
      <c r="B76" s="48"/>
      <c r="C76" s="55" t="s">
        <v>61</v>
      </c>
      <c r="D76" s="37"/>
      <c r="E76" s="37"/>
      <c r="F76" s="59"/>
      <c r="G76" s="59"/>
      <c r="H76" s="29"/>
      <c r="I76" s="92"/>
      <c r="J76" s="6"/>
    </row>
    <row r="77" spans="1:10" customFormat="1" ht="14.45">
      <c r="A77" s="22"/>
      <c r="B77" s="48"/>
      <c r="C77" s="55"/>
      <c r="D77" s="37"/>
      <c r="E77" s="37"/>
      <c r="F77" s="59"/>
      <c r="G77" s="59"/>
      <c r="H77" s="29"/>
      <c r="I77" s="92"/>
      <c r="J77" s="6"/>
    </row>
    <row r="78" spans="1:10" customFormat="1" ht="14.45">
      <c r="A78" s="22"/>
      <c r="B78" s="48"/>
      <c r="C78" s="37" t="s">
        <v>140</v>
      </c>
      <c r="D78" s="95">
        <v>0.05</v>
      </c>
      <c r="E78" s="37"/>
      <c r="F78" s="59">
        <f>SUM(G16+G26+G40+G50+G56+G68+G74)</f>
        <v>511975</v>
      </c>
      <c r="G78" s="59">
        <f>D78*F78</f>
        <v>25598.75</v>
      </c>
      <c r="H78" s="29"/>
      <c r="I78" s="92"/>
      <c r="J78" s="6"/>
    </row>
    <row r="79" spans="1:10" customFormat="1" ht="14.45">
      <c r="A79" s="22"/>
      <c r="B79" s="62"/>
      <c r="C79" s="37"/>
      <c r="D79" s="37"/>
      <c r="E79" s="37"/>
      <c r="F79" s="59"/>
      <c r="G79" s="59"/>
      <c r="H79" s="29"/>
      <c r="I79" s="92"/>
      <c r="J79" s="6"/>
    </row>
    <row r="80" spans="1:10" customFormat="1" ht="15" customHeight="1">
      <c r="A80" s="22"/>
      <c r="B80" s="25"/>
      <c r="C80" s="85"/>
      <c r="D80" s="81"/>
      <c r="E80" s="81"/>
      <c r="F80" s="86" t="s">
        <v>85</v>
      </c>
      <c r="G80" s="60">
        <f>SUM(G78:G79)</f>
        <v>25598.75</v>
      </c>
      <c r="H80" s="29"/>
      <c r="I80" s="93"/>
      <c r="J80" s="6"/>
    </row>
    <row r="81" spans="1:10" customFormat="1" ht="15" customHeight="1">
      <c r="A81" s="22"/>
      <c r="B81" s="30"/>
      <c r="C81" s="32"/>
      <c r="D81" s="32"/>
      <c r="E81" s="32"/>
      <c r="F81" s="61"/>
      <c r="G81" s="61"/>
      <c r="H81" s="29"/>
      <c r="I81" s="93"/>
      <c r="J81" s="6"/>
    </row>
    <row r="82" spans="1:10" customFormat="1" ht="15" customHeight="1">
      <c r="A82" s="22"/>
      <c r="B82" s="24"/>
      <c r="C82" s="50"/>
      <c r="D82" s="50"/>
      <c r="E82" s="50"/>
      <c r="F82" s="50"/>
      <c r="G82" s="50"/>
      <c r="H82" s="29"/>
      <c r="I82" s="93"/>
      <c r="J82" s="6"/>
    </row>
    <row r="83" spans="1:10">
      <c r="C83" s="14"/>
      <c r="D83" s="14"/>
      <c r="E83" s="14"/>
      <c r="F83" s="14"/>
      <c r="G83" s="14"/>
      <c r="H83" s="12"/>
      <c r="J83" s="6"/>
    </row>
    <row r="84" spans="1:10">
      <c r="C84" s="14"/>
      <c r="D84" s="14"/>
      <c r="E84" s="14"/>
      <c r="F84" s="14"/>
      <c r="G84" s="14"/>
      <c r="H84" s="12"/>
      <c r="J84" s="6"/>
    </row>
    <row r="85" spans="1:10">
      <c r="C85" s="14"/>
      <c r="D85" s="14"/>
      <c r="E85" s="14"/>
      <c r="F85" s="14"/>
      <c r="G85" s="14"/>
      <c r="H85" s="12"/>
      <c r="J85" s="6"/>
    </row>
    <row r="86" spans="1:10">
      <c r="C86" s="14"/>
      <c r="D86" s="14"/>
      <c r="E86" s="14"/>
      <c r="F86" s="14"/>
      <c r="G86" s="14"/>
      <c r="H86" s="12"/>
      <c r="J86" s="6"/>
    </row>
    <row r="87" spans="1:10">
      <c r="C87" s="14"/>
      <c r="D87" s="14"/>
      <c r="E87" s="14"/>
      <c r="F87" s="14"/>
      <c r="G87" s="14"/>
      <c r="H87" s="12"/>
      <c r="J87" s="6"/>
    </row>
    <row r="88" spans="1:10">
      <c r="C88" s="14"/>
      <c r="D88" s="14"/>
      <c r="E88" s="14"/>
      <c r="F88" s="14"/>
      <c r="G88" s="14"/>
      <c r="H88" s="12"/>
      <c r="J88" s="6"/>
    </row>
    <row r="89" spans="1:10">
      <c r="C89" s="14"/>
      <c r="D89" s="14"/>
      <c r="E89" s="14"/>
      <c r="F89" s="14"/>
      <c r="G89" s="14"/>
      <c r="H89" s="12"/>
      <c r="J89"/>
    </row>
    <row r="90" spans="1:10">
      <c r="C90" s="14"/>
      <c r="D90" s="14"/>
      <c r="E90" s="14"/>
      <c r="F90" s="14"/>
      <c r="G90" s="14"/>
      <c r="H90" s="12"/>
      <c r="J90"/>
    </row>
    <row r="91" spans="1:10">
      <c r="J91"/>
    </row>
    <row r="92" spans="1:10">
      <c r="J92"/>
    </row>
    <row r="93" spans="1:10">
      <c r="J93"/>
    </row>
    <row r="94" spans="1:10">
      <c r="J94"/>
    </row>
    <row r="95" spans="1:10">
      <c r="J95"/>
    </row>
    <row r="96" spans="1:10">
      <c r="J96"/>
    </row>
    <row r="97" spans="10:10">
      <c r="J97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57A4-ABEA-4575-8D16-A85CAD646304}">
  <sheetPr>
    <pageSetUpPr fitToPage="1"/>
  </sheetPr>
  <dimension ref="A1:M48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94" customWidth="1"/>
    <col min="10" max="10" width="9.42578125" style="13" customWidth="1"/>
    <col min="11" max="11" width="8.85546875" style="13"/>
    <col min="12" max="12" width="0.7109375" style="13" customWidth="1"/>
    <col min="13" max="13" width="6.42578125" style="89" customWidth="1"/>
    <col min="14" max="16384" width="8.85546875" style="13"/>
  </cols>
  <sheetData>
    <row r="1" spans="1:13" s="1" customFormat="1" ht="14.45">
      <c r="C1" s="51"/>
      <c r="D1" s="2"/>
      <c r="E1" s="2"/>
      <c r="F1" s="2"/>
      <c r="G1" s="2"/>
      <c r="H1" s="3"/>
      <c r="I1" s="2"/>
      <c r="J1" s="2"/>
      <c r="K1" s="2"/>
      <c r="L1" s="2"/>
      <c r="M1" s="88"/>
    </row>
    <row r="2" spans="1:13" s="1" customFormat="1" ht="14.45">
      <c r="C2" s="51"/>
      <c r="D2" s="3"/>
      <c r="E2" s="2"/>
      <c r="G2" s="56" t="s">
        <v>0</v>
      </c>
      <c r="I2" s="2"/>
      <c r="J2" s="2"/>
      <c r="K2" s="2"/>
      <c r="L2" s="2"/>
      <c r="M2" s="88"/>
    </row>
    <row r="3" spans="1:13" s="1" customFormat="1" ht="14.45">
      <c r="B3" s="2"/>
      <c r="C3" s="51"/>
      <c r="D3" s="3"/>
      <c r="E3" s="2"/>
      <c r="G3" s="56" t="s">
        <v>1</v>
      </c>
      <c r="I3" s="2"/>
      <c r="J3" s="2"/>
      <c r="K3" s="2"/>
      <c r="L3" s="2"/>
      <c r="M3" s="88"/>
    </row>
    <row r="4" spans="1:13" s="1" customFormat="1" ht="14.45">
      <c r="B4" s="4"/>
      <c r="C4" s="52"/>
      <c r="D4" s="5"/>
      <c r="E4" s="5"/>
      <c r="F4" s="5"/>
      <c r="G4" s="5"/>
      <c r="I4" s="92"/>
      <c r="J4" s="6"/>
      <c r="M4" s="88"/>
    </row>
    <row r="5" spans="1:13" s="7" customFormat="1">
      <c r="B5" s="8" t="s">
        <v>141</v>
      </c>
      <c r="C5" s="53"/>
      <c r="D5" s="10"/>
      <c r="E5" s="10"/>
      <c r="F5" s="10"/>
      <c r="G5" s="10"/>
      <c r="H5" s="10"/>
      <c r="I5" s="92"/>
      <c r="J5" s="6"/>
      <c r="K5" s="1"/>
      <c r="L5" s="1"/>
      <c r="M5" s="88"/>
    </row>
    <row r="6" spans="1:13" s="7" customFormat="1" ht="7.5" customHeight="1">
      <c r="A6" s="68"/>
      <c r="B6" s="68"/>
      <c r="C6" s="126"/>
      <c r="D6" s="68"/>
      <c r="E6" s="68"/>
      <c r="F6" s="68"/>
      <c r="G6" s="68"/>
      <c r="H6" s="68"/>
      <c r="I6" s="92"/>
      <c r="J6" s="6"/>
      <c r="K6" s="1"/>
      <c r="L6" s="1"/>
      <c r="M6" s="88"/>
    </row>
    <row r="7" spans="1:13" ht="7.15" customHeight="1">
      <c r="I7" s="92"/>
      <c r="J7" s="6"/>
      <c r="K7" s="1"/>
      <c r="L7" s="1"/>
    </row>
    <row r="8" spans="1:13" customFormat="1" ht="15" customHeight="1">
      <c r="A8" s="22"/>
      <c r="B8" s="49"/>
      <c r="D8" s="50"/>
      <c r="E8" s="50"/>
      <c r="F8" s="50"/>
      <c r="G8" s="17"/>
      <c r="H8" s="29"/>
      <c r="I8" s="92"/>
      <c r="J8" s="6"/>
      <c r="K8" s="1"/>
      <c r="L8" s="1"/>
      <c r="M8" s="89"/>
    </row>
    <row r="9" spans="1:13" customFormat="1" ht="15" customHeight="1">
      <c r="A9" s="22"/>
      <c r="B9" s="24"/>
      <c r="C9" s="54"/>
      <c r="D9" s="127"/>
      <c r="E9" s="127"/>
      <c r="F9" s="127"/>
      <c r="G9" s="127"/>
      <c r="H9" s="29"/>
      <c r="I9" s="92"/>
      <c r="J9" s="6"/>
      <c r="K9" s="1"/>
      <c r="L9" s="1"/>
      <c r="M9" s="89"/>
    </row>
    <row r="10" spans="1:13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92"/>
      <c r="J10" s="6"/>
      <c r="K10" s="1"/>
      <c r="L10" s="1"/>
      <c r="M10" s="89"/>
    </row>
    <row r="11" spans="1:13" customFormat="1" ht="14.45">
      <c r="A11" s="22"/>
      <c r="B11" s="48"/>
      <c r="C11" s="37"/>
      <c r="D11" s="37"/>
      <c r="E11" s="37"/>
      <c r="F11" s="59"/>
      <c r="G11" s="59"/>
      <c r="H11" s="29"/>
      <c r="I11" s="92"/>
      <c r="J11" s="6"/>
      <c r="K11" s="1"/>
      <c r="L11" s="1"/>
      <c r="M11" s="89"/>
    </row>
    <row r="12" spans="1:13" customFormat="1" ht="14.45">
      <c r="A12" s="22"/>
      <c r="B12" s="48"/>
      <c r="C12" s="55" t="s">
        <v>62</v>
      </c>
      <c r="D12" s="37"/>
      <c r="E12" s="37"/>
      <c r="F12" s="59"/>
      <c r="G12" s="59"/>
      <c r="H12" s="29"/>
      <c r="I12" s="92"/>
      <c r="J12" s="6"/>
      <c r="K12" s="1"/>
      <c r="L12" s="1"/>
      <c r="M12" s="89"/>
    </row>
    <row r="13" spans="1:13" customFormat="1" ht="14.45">
      <c r="A13" s="22"/>
      <c r="B13" s="48"/>
      <c r="C13" s="37"/>
      <c r="D13" s="37"/>
      <c r="E13" s="37"/>
      <c r="F13" s="59"/>
      <c r="G13" s="59"/>
      <c r="H13" s="29"/>
      <c r="I13" s="92"/>
      <c r="J13" s="6"/>
      <c r="K13" s="1"/>
      <c r="L13" s="1"/>
      <c r="M13" s="89"/>
    </row>
    <row r="14" spans="1:13" customFormat="1" ht="28.9">
      <c r="A14" s="22"/>
      <c r="B14" s="48"/>
      <c r="C14" s="37" t="s">
        <v>142</v>
      </c>
      <c r="D14" s="37">
        <v>1</v>
      </c>
      <c r="E14" s="37" t="s">
        <v>74</v>
      </c>
      <c r="F14" s="59">
        <v>10000</v>
      </c>
      <c r="G14" s="59">
        <f>D14*F14</f>
        <v>10000</v>
      </c>
      <c r="H14" s="29"/>
      <c r="I14" s="92"/>
      <c r="J14" s="6"/>
      <c r="K14" s="1"/>
      <c r="L14" s="1"/>
      <c r="M14" s="89"/>
    </row>
    <row r="15" spans="1:13" customFormat="1" ht="14.45">
      <c r="A15" s="22"/>
      <c r="B15" s="48"/>
      <c r="C15" s="37"/>
      <c r="D15" s="37"/>
      <c r="E15" s="37"/>
      <c r="F15" s="59"/>
      <c r="G15" s="59"/>
      <c r="H15" s="29"/>
      <c r="I15" s="92"/>
      <c r="J15" s="6"/>
      <c r="K15" s="1"/>
      <c r="L15" s="1"/>
      <c r="M15" s="89"/>
    </row>
    <row r="16" spans="1:13" customFormat="1" ht="14.45">
      <c r="A16" s="22"/>
      <c r="B16" s="48"/>
      <c r="C16" s="37" t="s">
        <v>143</v>
      </c>
      <c r="D16" s="37">
        <v>1</v>
      </c>
      <c r="E16" s="37" t="s">
        <v>74</v>
      </c>
      <c r="F16" s="59">
        <v>500</v>
      </c>
      <c r="G16" s="59">
        <f>D16*F16</f>
        <v>500</v>
      </c>
      <c r="H16" s="29"/>
      <c r="I16" s="92"/>
      <c r="J16" s="6"/>
      <c r="K16" s="1"/>
      <c r="L16" s="1"/>
      <c r="M16" s="89"/>
    </row>
    <row r="17" spans="1:13" customFormat="1" ht="14.45">
      <c r="A17" s="22"/>
      <c r="B17" s="48"/>
      <c r="C17" s="37"/>
      <c r="D17" s="37"/>
      <c r="E17" s="37"/>
      <c r="F17" s="59"/>
      <c r="G17" s="59"/>
      <c r="H17" s="29"/>
      <c r="I17" s="92"/>
      <c r="J17" s="6"/>
      <c r="K17" s="1"/>
      <c r="L17" s="1"/>
      <c r="M17" s="89"/>
    </row>
    <row r="18" spans="1:13" customFormat="1" ht="15" customHeight="1">
      <c r="A18" s="22"/>
      <c r="B18" s="25"/>
      <c r="C18" s="85"/>
      <c r="D18" s="81"/>
      <c r="E18" s="81"/>
      <c r="F18" s="86" t="s">
        <v>85</v>
      </c>
      <c r="G18" s="60">
        <f>SUM(G14:G17)</f>
        <v>10500</v>
      </c>
      <c r="H18" s="29"/>
      <c r="I18" s="93"/>
      <c r="J18" s="74"/>
      <c r="M18" s="89"/>
    </row>
    <row r="19" spans="1:13" customFormat="1" ht="14.45">
      <c r="A19" s="22"/>
      <c r="B19" s="48"/>
      <c r="C19" s="37"/>
      <c r="D19" s="37"/>
      <c r="E19" s="37"/>
      <c r="F19" s="59"/>
      <c r="G19" s="59"/>
      <c r="H19" s="29"/>
      <c r="I19" s="92"/>
      <c r="J19" s="6"/>
      <c r="K19" s="1"/>
      <c r="L19" s="1"/>
      <c r="M19" s="89"/>
    </row>
    <row r="20" spans="1:13" customFormat="1" ht="14.45">
      <c r="A20" s="22"/>
      <c r="B20" s="48"/>
      <c r="C20" s="55" t="s">
        <v>63</v>
      </c>
      <c r="D20" s="37"/>
      <c r="E20" s="37"/>
      <c r="F20" s="59"/>
      <c r="G20" s="59"/>
      <c r="H20" s="29"/>
      <c r="I20" s="92"/>
      <c r="J20" s="6"/>
      <c r="K20" s="1"/>
      <c r="L20" s="1"/>
      <c r="M20" s="89"/>
    </row>
    <row r="21" spans="1:13" customFormat="1" ht="14.45">
      <c r="A21" s="22"/>
      <c r="B21" s="48"/>
      <c r="C21" s="37"/>
      <c r="D21" s="37"/>
      <c r="E21" s="37"/>
      <c r="F21" s="59"/>
      <c r="G21" s="59"/>
      <c r="H21" s="29"/>
      <c r="I21" s="92"/>
      <c r="J21" s="6"/>
      <c r="K21" s="1"/>
      <c r="L21" s="1"/>
      <c r="M21" s="89"/>
    </row>
    <row r="22" spans="1:13" customFormat="1" ht="14.45">
      <c r="A22" s="22"/>
      <c r="B22" s="48"/>
      <c r="C22" s="37" t="s">
        <v>144</v>
      </c>
      <c r="D22" s="37">
        <v>21</v>
      </c>
      <c r="E22" s="37" t="s">
        <v>145</v>
      </c>
      <c r="F22" s="59">
        <v>1000</v>
      </c>
      <c r="G22" s="59">
        <f>D22*F22</f>
        <v>21000</v>
      </c>
      <c r="H22" s="29"/>
      <c r="I22" s="92"/>
      <c r="J22" s="6"/>
      <c r="K22" s="1"/>
      <c r="L22" s="1"/>
      <c r="M22" s="89"/>
    </row>
    <row r="23" spans="1:13" customFormat="1" ht="14.45">
      <c r="A23" s="22"/>
      <c r="B23" s="48"/>
      <c r="C23" s="118"/>
      <c r="D23" s="119"/>
      <c r="E23" s="119"/>
      <c r="F23" s="120"/>
      <c r="G23" s="59"/>
      <c r="H23" s="29"/>
      <c r="I23" s="92"/>
      <c r="J23" s="6"/>
      <c r="K23" s="1"/>
      <c r="L23" s="1"/>
      <c r="M23" s="89"/>
    </row>
    <row r="24" spans="1:13" customFormat="1" ht="15" customHeight="1">
      <c r="A24" s="22"/>
      <c r="B24" s="25"/>
      <c r="C24" s="85"/>
      <c r="D24" s="81"/>
      <c r="E24" s="81"/>
      <c r="F24" s="86" t="s">
        <v>85</v>
      </c>
      <c r="G24" s="60">
        <f>SUM(G22)</f>
        <v>21000</v>
      </c>
      <c r="H24" s="29"/>
      <c r="I24" s="93"/>
      <c r="J24" s="74"/>
      <c r="M24" s="89"/>
    </row>
    <row r="25" spans="1:13" customFormat="1" ht="14.45">
      <c r="A25" s="22"/>
      <c r="B25" s="48"/>
      <c r="C25" s="37"/>
      <c r="D25" s="37"/>
      <c r="E25" s="37"/>
      <c r="F25" s="59"/>
      <c r="G25" s="59"/>
      <c r="H25" s="29"/>
      <c r="I25" s="92"/>
      <c r="J25" s="6"/>
      <c r="K25" s="1"/>
      <c r="L25" s="1"/>
      <c r="M25" s="89"/>
    </row>
    <row r="26" spans="1:13" customFormat="1" ht="14.45">
      <c r="A26" s="22"/>
      <c r="B26" s="48"/>
      <c r="C26" s="55" t="s">
        <v>64</v>
      </c>
      <c r="D26" s="37"/>
      <c r="E26" s="37"/>
      <c r="F26" s="59"/>
      <c r="G26" s="59"/>
      <c r="H26" s="29"/>
      <c r="I26" s="92"/>
      <c r="J26" s="6"/>
      <c r="K26" s="1"/>
      <c r="L26" s="1"/>
      <c r="M26" s="89"/>
    </row>
    <row r="27" spans="1:13" customFormat="1" ht="14.45">
      <c r="A27" s="22"/>
      <c r="B27" s="48"/>
      <c r="C27" s="55"/>
      <c r="D27" s="37"/>
      <c r="E27" s="37"/>
      <c r="F27" s="59"/>
      <c r="G27" s="59"/>
      <c r="H27" s="29"/>
      <c r="I27" s="92"/>
      <c r="J27" s="6"/>
      <c r="K27" s="1"/>
      <c r="L27" s="1"/>
      <c r="M27" s="89"/>
    </row>
    <row r="28" spans="1:13" customFormat="1" ht="14.45">
      <c r="A28" s="22"/>
      <c r="B28" s="48"/>
      <c r="C28" s="37" t="s">
        <v>146</v>
      </c>
      <c r="D28" s="37">
        <v>1</v>
      </c>
      <c r="E28" s="37" t="s">
        <v>74</v>
      </c>
      <c r="F28" s="59">
        <v>20000</v>
      </c>
      <c r="G28" s="59">
        <f>D28*F28</f>
        <v>20000</v>
      </c>
      <c r="H28" s="29"/>
      <c r="I28" s="92"/>
      <c r="J28" s="6"/>
      <c r="K28" s="1"/>
      <c r="L28" s="1"/>
      <c r="M28" s="89"/>
    </row>
    <row r="29" spans="1:13" customFormat="1" ht="14.45">
      <c r="A29" s="22"/>
      <c r="B29" s="48"/>
      <c r="C29" s="55"/>
      <c r="D29" s="37"/>
      <c r="E29" s="37"/>
      <c r="F29" s="59"/>
      <c r="G29" s="59"/>
      <c r="H29" s="29"/>
      <c r="I29" s="92"/>
      <c r="J29" s="6"/>
      <c r="K29" s="1"/>
      <c r="L29" s="1"/>
      <c r="M29" s="89"/>
    </row>
    <row r="30" spans="1:13" customFormat="1" ht="28.9">
      <c r="A30" s="22"/>
      <c r="B30" s="48"/>
      <c r="C30" s="37" t="s">
        <v>147</v>
      </c>
      <c r="D30" s="37">
        <v>1</v>
      </c>
      <c r="E30" s="37" t="s">
        <v>74</v>
      </c>
      <c r="F30" s="59">
        <v>80000</v>
      </c>
      <c r="G30" s="59">
        <f>D30*F30</f>
        <v>80000</v>
      </c>
      <c r="H30" s="29"/>
      <c r="I30" s="92"/>
      <c r="J30" s="6"/>
      <c r="K30" s="1"/>
      <c r="L30" s="1"/>
      <c r="M30" s="89"/>
    </row>
    <row r="31" spans="1:13" customFormat="1" ht="14.45">
      <c r="A31" s="22"/>
      <c r="B31" s="48"/>
      <c r="C31" s="55"/>
      <c r="D31" s="37"/>
      <c r="E31" s="37"/>
      <c r="F31" s="59"/>
      <c r="G31" s="59"/>
      <c r="H31" s="29"/>
      <c r="I31" s="92"/>
      <c r="J31" s="6"/>
      <c r="K31" s="1"/>
      <c r="L31" s="1"/>
      <c r="M31" s="89"/>
    </row>
    <row r="32" spans="1:13" customFormat="1" ht="28.9">
      <c r="A32" s="22"/>
      <c r="B32" s="48"/>
      <c r="C32" s="37" t="s">
        <v>148</v>
      </c>
      <c r="D32" s="37">
        <v>1</v>
      </c>
      <c r="E32" s="37" t="s">
        <v>74</v>
      </c>
      <c r="F32" s="59">
        <v>44000</v>
      </c>
      <c r="G32" s="59">
        <f>D32*F32</f>
        <v>44000</v>
      </c>
      <c r="H32" s="29"/>
      <c r="I32" s="92"/>
      <c r="J32" s="6"/>
      <c r="K32" s="1"/>
      <c r="L32" s="1"/>
      <c r="M32" s="89"/>
    </row>
    <row r="33" spans="1:13" customFormat="1" ht="14.45">
      <c r="A33" s="22"/>
      <c r="B33" s="48"/>
      <c r="C33" s="37"/>
      <c r="D33" s="37"/>
      <c r="E33" s="37"/>
      <c r="F33" s="59"/>
      <c r="G33" s="59"/>
      <c r="H33" s="29"/>
      <c r="I33" s="92"/>
      <c r="J33" s="6"/>
      <c r="K33" s="1"/>
      <c r="L33" s="1"/>
      <c r="M33" s="89"/>
    </row>
    <row r="34" spans="1:13" customFormat="1" ht="14.45">
      <c r="A34" s="22"/>
      <c r="B34" s="48"/>
      <c r="C34" s="37" t="s">
        <v>149</v>
      </c>
      <c r="D34" s="37"/>
      <c r="E34" s="37"/>
      <c r="F34" s="59"/>
      <c r="G34" s="59"/>
      <c r="H34" s="29"/>
      <c r="I34" s="92"/>
      <c r="J34" s="6"/>
      <c r="K34" s="1"/>
      <c r="L34" s="1"/>
      <c r="M34" s="89"/>
    </row>
    <row r="35" spans="1:13" customFormat="1" ht="14.45">
      <c r="A35" s="22"/>
      <c r="B35" s="48"/>
      <c r="C35" s="37"/>
      <c r="D35" s="37"/>
      <c r="E35" s="37"/>
      <c r="F35" s="59"/>
      <c r="G35" s="59"/>
      <c r="H35" s="29"/>
      <c r="I35" s="92"/>
      <c r="J35" s="6"/>
      <c r="K35" s="1"/>
      <c r="L35" s="1"/>
      <c r="M35" s="89"/>
    </row>
    <row r="36" spans="1:13" customFormat="1" ht="14.45">
      <c r="A36" s="22"/>
      <c r="B36" s="48"/>
      <c r="C36" s="37" t="s">
        <v>150</v>
      </c>
      <c r="D36" s="37">
        <v>22</v>
      </c>
      <c r="E36" s="37" t="s">
        <v>145</v>
      </c>
      <c r="F36" s="59">
        <v>8500</v>
      </c>
      <c r="G36" s="59">
        <f>D36*F36</f>
        <v>187000</v>
      </c>
      <c r="H36" s="29"/>
      <c r="I36" s="92"/>
      <c r="J36" s="6"/>
      <c r="K36" s="1"/>
      <c r="L36" s="1"/>
      <c r="M36" s="89"/>
    </row>
    <row r="37" spans="1:13" customFormat="1" ht="14.45">
      <c r="A37" s="22"/>
      <c r="B37" s="48"/>
      <c r="C37" s="118"/>
      <c r="D37" s="119"/>
      <c r="E37" s="119"/>
      <c r="F37" s="120"/>
      <c r="G37" s="59"/>
      <c r="H37" s="29"/>
      <c r="I37" s="92"/>
      <c r="J37" s="6"/>
      <c r="K37" s="1"/>
      <c r="L37" s="1"/>
      <c r="M37" s="89"/>
    </row>
    <row r="38" spans="1:13" customFormat="1" ht="15" customHeight="1">
      <c r="A38" s="22"/>
      <c r="B38" s="25"/>
      <c r="C38" s="85"/>
      <c r="D38" s="81"/>
      <c r="E38" s="81"/>
      <c r="F38" s="86" t="s">
        <v>85</v>
      </c>
      <c r="G38" s="60">
        <f>SUM(G28:G36)</f>
        <v>331000</v>
      </c>
      <c r="H38" s="29"/>
      <c r="I38" s="93"/>
      <c r="M38" s="90"/>
    </row>
    <row r="39" spans="1:13" customFormat="1" ht="15" customHeight="1">
      <c r="A39" s="22"/>
      <c r="B39" s="30"/>
      <c r="C39" s="32"/>
      <c r="D39" s="32"/>
      <c r="E39" s="32"/>
      <c r="F39" s="61"/>
      <c r="G39" s="61"/>
      <c r="H39" s="29"/>
      <c r="I39" s="93"/>
      <c r="M39" s="90"/>
    </row>
    <row r="40" spans="1:13" customFormat="1" ht="15" customHeight="1">
      <c r="A40" s="22"/>
      <c r="B40" s="24"/>
      <c r="C40" s="50"/>
      <c r="D40" s="50"/>
      <c r="E40" s="50"/>
      <c r="F40" s="50"/>
      <c r="G40" s="50"/>
      <c r="H40" s="29"/>
      <c r="I40" s="93"/>
      <c r="M40" s="90"/>
    </row>
    <row r="41" spans="1:13">
      <c r="C41" s="14"/>
      <c r="D41" s="14"/>
      <c r="E41" s="14"/>
      <c r="F41" s="14"/>
      <c r="G41" s="14"/>
      <c r="H41" s="12"/>
      <c r="J41"/>
      <c r="K41"/>
      <c r="L41"/>
      <c r="M41" s="90"/>
    </row>
    <row r="42" spans="1:13">
      <c r="C42" s="14"/>
      <c r="D42" s="14"/>
      <c r="E42" s="14"/>
      <c r="F42" s="14"/>
      <c r="G42" s="14"/>
      <c r="H42" s="12"/>
      <c r="J42"/>
      <c r="K42"/>
      <c r="L42"/>
      <c r="M42" s="90"/>
    </row>
    <row r="43" spans="1:13">
      <c r="C43" s="14"/>
      <c r="D43" s="14"/>
      <c r="E43" s="14"/>
      <c r="F43" s="14"/>
      <c r="G43" s="14"/>
      <c r="H43" s="12"/>
      <c r="J43"/>
      <c r="K43"/>
      <c r="L43"/>
      <c r="M43" s="90"/>
    </row>
    <row r="44" spans="1:13">
      <c r="C44" s="14"/>
      <c r="D44" s="14"/>
      <c r="E44" s="14"/>
      <c r="F44" s="14"/>
      <c r="G44" s="14"/>
      <c r="H44" s="12"/>
      <c r="J44"/>
      <c r="K44"/>
      <c r="L44"/>
      <c r="M44" s="90"/>
    </row>
    <row r="45" spans="1:13">
      <c r="C45" s="14"/>
      <c r="D45" s="14"/>
      <c r="E45" s="14"/>
      <c r="F45" s="14"/>
      <c r="G45" s="14"/>
      <c r="H45" s="12"/>
      <c r="J45"/>
      <c r="K45"/>
      <c r="L45"/>
      <c r="M45" s="90"/>
    </row>
    <row r="46" spans="1:13">
      <c r="C46" s="14"/>
      <c r="D46" s="14"/>
      <c r="E46" s="14"/>
      <c r="F46" s="14"/>
      <c r="G46" s="14"/>
      <c r="H46" s="12"/>
      <c r="J46"/>
      <c r="K46"/>
      <c r="L46"/>
      <c r="M46" s="90"/>
    </row>
    <row r="47" spans="1:13">
      <c r="C47" s="14"/>
      <c r="D47" s="14"/>
      <c r="E47" s="14"/>
      <c r="F47" s="14"/>
      <c r="G47" s="14"/>
      <c r="H47" s="12"/>
      <c r="M47" s="90"/>
    </row>
    <row r="48" spans="1:13">
      <c r="C48" s="14"/>
      <c r="D48" s="14"/>
      <c r="E48" s="14"/>
      <c r="F48" s="14"/>
      <c r="G48" s="14"/>
      <c r="H48" s="12"/>
      <c r="M48" s="90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AB44-5B24-4AF0-93FF-B2411D620CEE}">
  <sheetPr>
    <pageSetUpPr fitToPage="1"/>
  </sheetPr>
  <dimension ref="A1:L40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13" customWidth="1"/>
    <col min="10" max="10" width="7.7109375" style="89" customWidth="1"/>
    <col min="11" max="12" width="8.85546875" style="89"/>
    <col min="13" max="16384" width="8.85546875" style="13"/>
  </cols>
  <sheetData>
    <row r="1" spans="1:12" s="1" customFormat="1" ht="14.45">
      <c r="C1" s="51"/>
      <c r="D1" s="2"/>
      <c r="E1" s="2"/>
      <c r="F1" s="2"/>
      <c r="G1" s="2"/>
      <c r="H1" s="3"/>
      <c r="I1" s="2"/>
      <c r="J1" s="88"/>
      <c r="K1" s="88"/>
      <c r="L1" s="88"/>
    </row>
    <row r="2" spans="1:12" s="1" customFormat="1" ht="14.45">
      <c r="C2" s="51"/>
      <c r="D2" s="3"/>
      <c r="E2" s="2"/>
      <c r="G2" s="56" t="s">
        <v>0</v>
      </c>
      <c r="I2" s="2"/>
      <c r="J2" s="88"/>
      <c r="K2" s="88"/>
      <c r="L2" s="88"/>
    </row>
    <row r="3" spans="1:12" s="1" customFormat="1" ht="14.45">
      <c r="B3" s="2"/>
      <c r="C3" s="51"/>
      <c r="D3" s="3"/>
      <c r="E3" s="2"/>
      <c r="G3" s="56" t="s">
        <v>1</v>
      </c>
      <c r="I3" s="2"/>
      <c r="J3" s="88"/>
      <c r="K3" s="88"/>
      <c r="L3" s="88"/>
    </row>
    <row r="4" spans="1:12" s="1" customFormat="1" ht="14.45">
      <c r="B4" s="4"/>
      <c r="C4" s="52"/>
      <c r="D4" s="5"/>
      <c r="E4" s="5"/>
      <c r="F4" s="5"/>
      <c r="G4" s="5"/>
      <c r="I4" s="5"/>
      <c r="K4" s="88"/>
      <c r="L4" s="88"/>
    </row>
    <row r="5" spans="1:12" s="7" customFormat="1">
      <c r="B5" s="8" t="s">
        <v>151</v>
      </c>
      <c r="C5" s="53"/>
      <c r="D5" s="10"/>
      <c r="E5" s="10"/>
      <c r="F5" s="10"/>
      <c r="G5" s="10"/>
      <c r="H5" s="10"/>
      <c r="I5" s="5"/>
      <c r="K5" s="88"/>
      <c r="L5" s="88"/>
    </row>
    <row r="6" spans="1:12" s="7" customFormat="1" ht="7.5" customHeight="1">
      <c r="A6" s="68"/>
      <c r="B6" s="68"/>
      <c r="C6" s="126"/>
      <c r="D6" s="68"/>
      <c r="E6" s="68"/>
      <c r="F6" s="68"/>
      <c r="G6" s="68"/>
      <c r="H6" s="68"/>
      <c r="I6" s="5"/>
      <c r="J6" s="88"/>
      <c r="K6" s="88"/>
      <c r="L6" s="88"/>
    </row>
    <row r="7" spans="1:12" ht="7.15" customHeight="1">
      <c r="I7" s="5"/>
    </row>
    <row r="8" spans="1:12" customFormat="1" ht="15" customHeight="1">
      <c r="A8" s="22"/>
      <c r="B8" s="49"/>
      <c r="D8" s="50"/>
      <c r="E8" s="50"/>
      <c r="F8" s="50"/>
      <c r="G8" s="17"/>
      <c r="H8" s="29"/>
      <c r="I8" s="5"/>
      <c r="J8" s="89"/>
      <c r="K8" s="89"/>
      <c r="L8" s="89"/>
    </row>
    <row r="9" spans="1:12" customFormat="1" ht="15" customHeight="1">
      <c r="A9" s="22"/>
      <c r="B9" s="24"/>
      <c r="C9" s="54"/>
      <c r="D9" s="127"/>
      <c r="E9" s="127"/>
      <c r="F9" s="127"/>
      <c r="G9" s="127"/>
      <c r="H9" s="29"/>
      <c r="I9" s="5"/>
      <c r="J9" s="89"/>
      <c r="K9" s="89"/>
      <c r="L9" s="89"/>
    </row>
    <row r="10" spans="1:12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5"/>
      <c r="J10" s="89"/>
      <c r="K10" s="89"/>
      <c r="L10" s="89"/>
    </row>
    <row r="11" spans="1:12" customFormat="1" ht="14.45">
      <c r="A11" s="22"/>
      <c r="B11" s="48"/>
      <c r="C11" s="37"/>
      <c r="D11" s="37"/>
      <c r="E11" s="37"/>
      <c r="F11" s="59"/>
      <c r="G11" s="59"/>
      <c r="H11" s="29"/>
      <c r="I11" s="5"/>
      <c r="J11" s="89"/>
      <c r="K11" s="89"/>
      <c r="L11" s="89"/>
    </row>
    <row r="12" spans="1:12" customFormat="1" ht="14.45">
      <c r="A12" s="22"/>
      <c r="B12" s="48"/>
      <c r="C12" s="37" t="s">
        <v>152</v>
      </c>
      <c r="D12" s="37"/>
      <c r="E12" s="37"/>
      <c r="F12" s="59"/>
      <c r="G12" s="59"/>
      <c r="H12" s="29"/>
      <c r="I12" s="5"/>
      <c r="J12" s="89"/>
      <c r="K12" s="89"/>
      <c r="L12" s="89"/>
    </row>
    <row r="13" spans="1:12" customFormat="1" ht="14.45">
      <c r="A13" s="22"/>
      <c r="B13" s="48"/>
      <c r="C13" s="37" t="s">
        <v>153</v>
      </c>
      <c r="D13" s="37">
        <v>33</v>
      </c>
      <c r="E13" s="37" t="s">
        <v>145</v>
      </c>
      <c r="F13" s="59">
        <v>600</v>
      </c>
      <c r="G13" s="59">
        <f>D13*F13</f>
        <v>19800</v>
      </c>
      <c r="H13" s="29"/>
      <c r="I13" s="5"/>
      <c r="J13" s="89"/>
      <c r="K13" s="89"/>
      <c r="L13" s="89"/>
    </row>
    <row r="14" spans="1:12" customFormat="1" ht="14.45">
      <c r="A14" s="22"/>
      <c r="B14" s="48"/>
      <c r="C14" s="37" t="s">
        <v>154</v>
      </c>
      <c r="D14" s="37">
        <v>22</v>
      </c>
      <c r="E14" s="37" t="s">
        <v>145</v>
      </c>
      <c r="F14" s="59">
        <f>600*1.5</f>
        <v>900</v>
      </c>
      <c r="G14" s="59">
        <f>D14*F14</f>
        <v>19800</v>
      </c>
      <c r="H14" s="29"/>
      <c r="I14" s="5"/>
      <c r="J14" s="89"/>
      <c r="K14" s="89"/>
      <c r="L14" s="89"/>
    </row>
    <row r="15" spans="1:12" customFormat="1" ht="14.45">
      <c r="A15" s="22"/>
      <c r="B15" s="48"/>
      <c r="C15" s="37" t="s">
        <v>155</v>
      </c>
      <c r="D15" s="37">
        <v>10</v>
      </c>
      <c r="E15" s="37" t="s">
        <v>156</v>
      </c>
      <c r="F15" s="59">
        <v>600</v>
      </c>
      <c r="G15" s="59">
        <f>D15*F15</f>
        <v>6000</v>
      </c>
      <c r="H15" s="29"/>
      <c r="I15" s="5"/>
      <c r="J15" s="89"/>
      <c r="K15" s="89"/>
      <c r="L15" s="89"/>
    </row>
    <row r="16" spans="1:12" customFormat="1" ht="14.45">
      <c r="A16" s="22"/>
      <c r="B16" s="48"/>
      <c r="C16" s="37"/>
      <c r="D16" s="37"/>
      <c r="E16" s="37"/>
      <c r="F16" s="59"/>
      <c r="G16" s="59"/>
      <c r="H16" s="29"/>
      <c r="I16" s="5"/>
      <c r="J16" s="89"/>
      <c r="K16" s="89"/>
      <c r="L16" s="89"/>
    </row>
    <row r="17" spans="1:12" customFormat="1" ht="14.45">
      <c r="A17" s="22"/>
      <c r="B17" s="48"/>
      <c r="C17" s="37"/>
      <c r="D17" s="37"/>
      <c r="E17" s="37"/>
      <c r="F17" s="59"/>
      <c r="G17" s="59"/>
      <c r="H17" s="29"/>
      <c r="I17" s="5"/>
      <c r="J17" s="89"/>
      <c r="K17" s="89"/>
      <c r="L17" s="89"/>
    </row>
    <row r="18" spans="1:12" customFormat="1" ht="14.45">
      <c r="A18" s="22"/>
      <c r="B18" s="48"/>
      <c r="C18" s="37" t="s">
        <v>157</v>
      </c>
      <c r="D18" s="37"/>
      <c r="E18" s="37"/>
      <c r="F18" s="59"/>
      <c r="G18" s="59"/>
      <c r="H18" s="29"/>
      <c r="I18" s="5"/>
      <c r="J18" s="89"/>
      <c r="K18" s="89"/>
      <c r="L18" s="89"/>
    </row>
    <row r="19" spans="1:12" customFormat="1" ht="14.45">
      <c r="A19" s="22"/>
      <c r="B19" s="48"/>
      <c r="C19" s="37"/>
      <c r="D19" s="37"/>
      <c r="E19" s="37"/>
      <c r="F19" s="59"/>
      <c r="G19" s="59"/>
      <c r="H19" s="29"/>
      <c r="I19" s="5"/>
      <c r="J19" s="89"/>
      <c r="K19" s="89"/>
      <c r="L19" s="89"/>
    </row>
    <row r="20" spans="1:12" customFormat="1" ht="14.45">
      <c r="A20" s="22"/>
      <c r="B20" s="48"/>
      <c r="C20" s="37" t="s">
        <v>158</v>
      </c>
      <c r="D20" s="37">
        <v>1</v>
      </c>
      <c r="E20" s="37" t="s">
        <v>74</v>
      </c>
      <c r="F20" s="59">
        <v>10000</v>
      </c>
      <c r="G20" s="59">
        <f>D20*F20</f>
        <v>10000</v>
      </c>
      <c r="H20" s="29"/>
      <c r="I20" s="5"/>
      <c r="J20" s="89"/>
      <c r="K20" s="89"/>
      <c r="L20" s="89"/>
    </row>
    <row r="21" spans="1:12" customFormat="1" ht="14.45">
      <c r="A21" s="22"/>
      <c r="B21" s="48"/>
      <c r="C21" s="37"/>
      <c r="D21" s="37"/>
      <c r="E21" s="37"/>
      <c r="F21" s="59"/>
      <c r="G21" s="59"/>
      <c r="H21" s="29"/>
      <c r="I21" s="5"/>
      <c r="J21" s="89"/>
      <c r="K21" s="89"/>
      <c r="L21" s="89"/>
    </row>
    <row r="22" spans="1:12" customFormat="1" ht="14.45">
      <c r="A22" s="22"/>
      <c r="B22" s="48"/>
      <c r="C22" s="37" t="s">
        <v>159</v>
      </c>
      <c r="D22" s="37"/>
      <c r="E22" s="37"/>
      <c r="F22" s="59"/>
      <c r="G22" s="59"/>
      <c r="H22" s="29"/>
      <c r="I22" s="5"/>
      <c r="J22" s="89"/>
      <c r="K22" s="89"/>
      <c r="L22" s="89"/>
    </row>
    <row r="23" spans="1:12" customFormat="1" ht="14.45">
      <c r="A23" s="22"/>
      <c r="B23" s="48"/>
      <c r="C23" s="37"/>
      <c r="D23" s="37"/>
      <c r="E23" s="37"/>
      <c r="F23" s="59"/>
      <c r="G23" s="59"/>
      <c r="H23" s="29"/>
      <c r="I23" s="5"/>
      <c r="J23" s="89"/>
      <c r="K23" s="89"/>
      <c r="L23" s="89"/>
    </row>
    <row r="24" spans="1:12" customFormat="1" ht="14.45">
      <c r="A24" s="22"/>
      <c r="B24" s="48"/>
      <c r="C24" s="37" t="s">
        <v>158</v>
      </c>
      <c r="D24" s="37">
        <v>1</v>
      </c>
      <c r="E24" s="37" t="s">
        <v>74</v>
      </c>
      <c r="F24" s="59">
        <v>35000</v>
      </c>
      <c r="G24" s="59">
        <f>D24*F24</f>
        <v>35000</v>
      </c>
      <c r="H24" s="29"/>
      <c r="I24" s="5"/>
      <c r="J24" s="89"/>
      <c r="K24" s="89"/>
      <c r="L24" s="89"/>
    </row>
    <row r="25" spans="1:12" customFormat="1" ht="14.45">
      <c r="A25" s="22"/>
      <c r="B25" s="48"/>
      <c r="C25" s="37"/>
      <c r="D25" s="37"/>
      <c r="E25" s="37"/>
      <c r="F25" s="59"/>
      <c r="G25" s="59"/>
      <c r="H25" s="29"/>
      <c r="I25" s="5"/>
      <c r="J25" s="89"/>
      <c r="K25" s="89"/>
      <c r="L25" s="89"/>
    </row>
    <row r="26" spans="1:12" customFormat="1" ht="14.45">
      <c r="A26" s="22"/>
      <c r="B26" s="48"/>
      <c r="C26" s="37" t="s">
        <v>160</v>
      </c>
      <c r="D26" s="37">
        <v>22</v>
      </c>
      <c r="E26" s="37" t="s">
        <v>145</v>
      </c>
      <c r="F26" s="59">
        <v>2100</v>
      </c>
      <c r="G26" s="59">
        <f>D26*F26</f>
        <v>46200</v>
      </c>
      <c r="H26" s="29"/>
      <c r="I26" s="5"/>
      <c r="J26" s="89"/>
      <c r="K26" s="89"/>
      <c r="L26" s="89"/>
    </row>
    <row r="27" spans="1:12" customFormat="1" ht="14.45">
      <c r="A27" s="22"/>
      <c r="B27" s="48"/>
      <c r="C27" s="37"/>
      <c r="D27" s="37"/>
      <c r="E27" s="37"/>
      <c r="F27" s="59"/>
      <c r="G27" s="59"/>
      <c r="H27" s="29"/>
      <c r="I27" s="5"/>
      <c r="J27" s="89"/>
      <c r="K27" s="89"/>
      <c r="L27" s="89"/>
    </row>
    <row r="28" spans="1:12" customFormat="1" ht="14.45">
      <c r="A28" s="22"/>
      <c r="B28" s="48"/>
      <c r="C28" s="37" t="s">
        <v>161</v>
      </c>
      <c r="D28" s="37">
        <v>1</v>
      </c>
      <c r="E28" s="37" t="s">
        <v>74</v>
      </c>
      <c r="F28" s="59">
        <v>5000</v>
      </c>
      <c r="G28" s="59">
        <f>D28*F28</f>
        <v>5000</v>
      </c>
      <c r="H28" s="29"/>
      <c r="I28" s="5"/>
      <c r="J28" s="89"/>
      <c r="K28" s="89"/>
      <c r="L28" s="89"/>
    </row>
    <row r="29" spans="1:12" customFormat="1" ht="14.45">
      <c r="A29" s="22"/>
      <c r="B29" s="48"/>
      <c r="C29" s="118"/>
      <c r="D29" s="119"/>
      <c r="E29" s="119"/>
      <c r="F29" s="120"/>
      <c r="G29" s="59"/>
      <c r="H29" s="29"/>
      <c r="I29" s="5"/>
      <c r="J29" s="89"/>
      <c r="K29" s="89"/>
      <c r="L29" s="89"/>
    </row>
    <row r="30" spans="1:12" customFormat="1" ht="15" customHeight="1">
      <c r="A30" s="22"/>
      <c r="B30" s="25"/>
      <c r="C30" s="85"/>
      <c r="D30" s="81"/>
      <c r="E30" s="81"/>
      <c r="F30" s="86" t="s">
        <v>85</v>
      </c>
      <c r="G30" s="60">
        <f>SUM(G12:G28)</f>
        <v>141800</v>
      </c>
      <c r="H30" s="29"/>
      <c r="J30" s="89"/>
      <c r="K30" s="89"/>
      <c r="L30" s="89"/>
    </row>
    <row r="31" spans="1:12" customFormat="1" ht="15" customHeight="1">
      <c r="A31" s="22"/>
      <c r="B31" s="30"/>
      <c r="C31" s="32"/>
      <c r="D31" s="32"/>
      <c r="E31" s="32"/>
      <c r="F31" s="61"/>
      <c r="G31" s="61"/>
      <c r="H31" s="29"/>
      <c r="J31" s="89"/>
      <c r="K31" s="89"/>
      <c r="L31" s="89"/>
    </row>
    <row r="32" spans="1:12" customFormat="1" ht="15" customHeight="1">
      <c r="A32" s="22"/>
      <c r="B32" s="24"/>
      <c r="C32" s="50"/>
      <c r="D32" s="50"/>
      <c r="E32" s="50"/>
      <c r="F32" s="50"/>
      <c r="G32" s="50"/>
      <c r="H32" s="29"/>
      <c r="J32" s="89"/>
      <c r="K32" s="89"/>
      <c r="L32" s="89"/>
    </row>
    <row r="33" spans="3:8">
      <c r="C33" s="14"/>
      <c r="D33" s="14"/>
      <c r="E33" s="14"/>
      <c r="F33" s="14"/>
      <c r="G33" s="14"/>
      <c r="H33" s="12"/>
    </row>
    <row r="34" spans="3:8">
      <c r="C34" s="14"/>
      <c r="D34" s="14"/>
      <c r="E34" s="14"/>
      <c r="F34" s="14"/>
      <c r="G34" s="14"/>
      <c r="H34" s="12"/>
    </row>
    <row r="35" spans="3:8">
      <c r="C35" s="14"/>
      <c r="D35" s="14"/>
      <c r="E35" s="14"/>
      <c r="F35" s="14"/>
      <c r="G35" s="14"/>
      <c r="H35" s="12"/>
    </row>
    <row r="36" spans="3:8">
      <c r="C36" s="14"/>
      <c r="D36" s="14"/>
      <c r="E36" s="14"/>
      <c r="F36" s="14"/>
      <c r="G36" s="14"/>
      <c r="H36" s="12"/>
    </row>
    <row r="37" spans="3:8">
      <c r="C37" s="14"/>
      <c r="D37" s="14"/>
      <c r="E37" s="14"/>
      <c r="F37" s="14"/>
      <c r="G37" s="14"/>
      <c r="H37" s="12"/>
    </row>
    <row r="38" spans="3:8">
      <c r="C38" s="14"/>
      <c r="D38" s="14"/>
      <c r="E38" s="14"/>
      <c r="F38" s="14"/>
      <c r="G38" s="14"/>
      <c r="H38" s="12"/>
    </row>
    <row r="39" spans="3:8">
      <c r="C39" s="14"/>
      <c r="D39" s="14"/>
      <c r="E39" s="14"/>
      <c r="F39" s="14"/>
      <c r="G39" s="14"/>
      <c r="H39" s="12"/>
    </row>
    <row r="40" spans="3:8">
      <c r="C40" s="14"/>
      <c r="D40" s="14"/>
      <c r="E40" s="14"/>
      <c r="F40" s="14"/>
      <c r="G40" s="14"/>
      <c r="H40" s="12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DC45-65A1-4864-98C0-721E5B571659}">
  <sheetPr>
    <pageSetUpPr fitToPage="1"/>
  </sheetPr>
  <dimension ref="A1:T28"/>
  <sheetViews>
    <sheetView view="pageBreakPreview" zoomScaleNormal="100" zoomScaleSheetLayoutView="100" workbookViewId="0">
      <pane xSplit="2" ySplit="10" topLeftCell="C11" activePane="bottomRight" state="frozen"/>
      <selection pane="bottomRight" activeCell="K32" sqref="K32"/>
      <selection pane="bottomLeft" activeCell="K32" sqref="K32"/>
      <selection pane="topRight" activeCell="K32" sqref="K32"/>
    </sheetView>
  </sheetViews>
  <sheetFormatPr defaultColWidth="8.85546875" defaultRowHeight="15.6"/>
  <cols>
    <col min="1" max="1" width="1.7109375" style="11" customWidth="1"/>
    <col min="2" max="2" width="7" style="16" customWidth="1"/>
    <col min="3" max="3" width="63" style="17" customWidth="1"/>
    <col min="4" max="4" width="10.7109375" style="17" customWidth="1"/>
    <col min="5" max="5" width="7.7109375" style="17" customWidth="1"/>
    <col min="6" max="6" width="11.28515625" style="17" customWidth="1"/>
    <col min="7" max="7" width="13.28515625" style="17" customWidth="1"/>
    <col min="8" max="8" width="1.28515625" style="15" customWidth="1"/>
    <col min="9" max="9" width="1.85546875" style="13" customWidth="1"/>
    <col min="10" max="10" width="9.42578125" style="13" customWidth="1"/>
    <col min="11" max="11" width="8.85546875" style="89"/>
    <col min="12" max="12" width="0.7109375" style="89" customWidth="1"/>
    <col min="13" max="13" width="8.140625" style="89" bestFit="1" customWidth="1"/>
    <col min="14" max="15" width="8.85546875" style="89"/>
    <col min="16" max="16" width="10.7109375" style="89" bestFit="1" customWidth="1"/>
    <col min="17" max="17" width="11.85546875" style="89" bestFit="1" customWidth="1"/>
    <col min="18" max="18" width="7.7109375" style="89" customWidth="1"/>
    <col min="19" max="20" width="8.85546875" style="89"/>
    <col min="21" max="16384" width="8.85546875" style="13"/>
  </cols>
  <sheetData>
    <row r="1" spans="1:20" s="1" customFormat="1" ht="14.45">
      <c r="C1" s="51"/>
      <c r="D1" s="2"/>
      <c r="E1" s="2"/>
      <c r="F1" s="2"/>
      <c r="G1" s="2"/>
      <c r="H1" s="3"/>
      <c r="I1" s="2"/>
      <c r="J1" s="2"/>
      <c r="K1" s="91"/>
      <c r="L1" s="91"/>
      <c r="M1" s="88"/>
      <c r="N1" s="88"/>
      <c r="O1" s="88"/>
      <c r="P1" s="88"/>
      <c r="Q1" s="88"/>
      <c r="R1" s="88"/>
      <c r="S1" s="88"/>
      <c r="T1" s="88"/>
    </row>
    <row r="2" spans="1:20" s="1" customFormat="1" ht="14.45">
      <c r="C2" s="51"/>
      <c r="D2" s="3"/>
      <c r="E2" s="2"/>
      <c r="G2" s="56" t="s">
        <v>0</v>
      </c>
      <c r="I2" s="2"/>
      <c r="J2" s="2"/>
      <c r="K2" s="91"/>
      <c r="L2" s="91"/>
      <c r="M2" s="88"/>
      <c r="N2" s="88"/>
      <c r="O2" s="88"/>
      <c r="P2" s="88"/>
      <c r="Q2" s="88"/>
      <c r="R2" s="88"/>
      <c r="S2" s="88"/>
      <c r="T2" s="88"/>
    </row>
    <row r="3" spans="1:20" s="1" customFormat="1" ht="14.45">
      <c r="B3" s="2"/>
      <c r="C3" s="51"/>
      <c r="D3" s="3"/>
      <c r="E3" s="2"/>
      <c r="G3" s="56" t="s">
        <v>1</v>
      </c>
      <c r="I3" s="2"/>
      <c r="J3" s="2"/>
      <c r="K3" s="91"/>
      <c r="L3" s="91"/>
      <c r="M3" s="88"/>
      <c r="N3" s="88"/>
      <c r="O3" s="88"/>
      <c r="P3" s="88"/>
      <c r="Q3" s="88"/>
      <c r="R3" s="88"/>
      <c r="S3" s="88"/>
      <c r="T3" s="88"/>
    </row>
    <row r="4" spans="1:20" s="1" customFormat="1" ht="14.45">
      <c r="B4" s="4"/>
      <c r="C4" s="52"/>
      <c r="D4" s="5"/>
      <c r="E4" s="5"/>
      <c r="F4" s="5"/>
      <c r="G4" s="5"/>
      <c r="I4" s="5"/>
      <c r="J4" s="6"/>
      <c r="K4" s="88"/>
      <c r="L4" s="88"/>
      <c r="M4" s="102"/>
      <c r="N4" s="102"/>
      <c r="O4" s="103"/>
      <c r="S4" s="88"/>
      <c r="T4" s="88"/>
    </row>
    <row r="5" spans="1:20" s="7" customFormat="1">
      <c r="B5" s="8" t="s">
        <v>162</v>
      </c>
      <c r="C5" s="53"/>
      <c r="D5" s="10"/>
      <c r="E5" s="10"/>
      <c r="F5" s="10"/>
      <c r="G5" s="10"/>
      <c r="H5" s="10"/>
      <c r="I5" s="5"/>
      <c r="J5" s="6"/>
      <c r="K5" s="88"/>
      <c r="L5" s="88"/>
      <c r="M5" s="102"/>
      <c r="N5" s="102"/>
      <c r="O5" s="103"/>
      <c r="S5" s="88"/>
      <c r="T5" s="88"/>
    </row>
    <row r="6" spans="1:20" s="7" customFormat="1" ht="7.5" customHeight="1">
      <c r="A6" s="68"/>
      <c r="B6" s="68"/>
      <c r="C6" s="126"/>
      <c r="D6" s="68"/>
      <c r="E6" s="68"/>
      <c r="F6" s="68"/>
      <c r="G6" s="68"/>
      <c r="H6" s="68"/>
      <c r="I6" s="5"/>
      <c r="J6" s="6"/>
      <c r="K6" s="88"/>
      <c r="L6" s="88"/>
      <c r="M6" s="88"/>
      <c r="N6" s="88"/>
      <c r="O6" s="88"/>
      <c r="P6" s="88"/>
      <c r="Q6" s="88"/>
      <c r="R6" s="88"/>
      <c r="S6" s="88"/>
      <c r="T6" s="88"/>
    </row>
    <row r="7" spans="1:20" ht="7.15" customHeight="1">
      <c r="I7" s="5"/>
      <c r="J7" s="6"/>
      <c r="K7" s="88"/>
      <c r="L7" s="88"/>
    </row>
    <row r="8" spans="1:20" customFormat="1" ht="15" customHeight="1">
      <c r="A8" s="22"/>
      <c r="B8" s="49"/>
      <c r="D8" s="50"/>
      <c r="E8" s="50"/>
      <c r="F8" s="50"/>
      <c r="G8" s="17"/>
      <c r="H8" s="29"/>
      <c r="I8" s="5"/>
      <c r="J8" s="6"/>
      <c r="K8" s="88"/>
      <c r="L8" s="88"/>
      <c r="M8" s="89"/>
      <c r="N8" s="89"/>
      <c r="O8" s="89"/>
      <c r="P8" s="89"/>
      <c r="Q8" s="89"/>
      <c r="R8" s="89"/>
      <c r="S8" s="89"/>
      <c r="T8" s="89"/>
    </row>
    <row r="9" spans="1:20" customFormat="1" ht="15" customHeight="1">
      <c r="A9" s="22"/>
      <c r="B9" s="24"/>
      <c r="C9" s="54"/>
      <c r="D9" s="127"/>
      <c r="E9" s="127"/>
      <c r="F9" s="127"/>
      <c r="G9" s="127"/>
      <c r="H9" s="29"/>
      <c r="I9" s="5"/>
      <c r="J9" s="6"/>
      <c r="K9" s="88"/>
      <c r="L9" s="88"/>
      <c r="M9" s="89"/>
      <c r="N9" s="89"/>
      <c r="O9" s="89"/>
      <c r="P9" s="89"/>
      <c r="Q9" s="89"/>
      <c r="R9" s="89"/>
      <c r="S9" s="89"/>
      <c r="T9" s="89"/>
    </row>
    <row r="10" spans="1:20" customFormat="1" ht="14.45">
      <c r="A10" s="22"/>
      <c r="B10" s="45" t="s">
        <v>68</v>
      </c>
      <c r="C10" s="55" t="s">
        <v>69</v>
      </c>
      <c r="D10" s="46" t="s">
        <v>70</v>
      </c>
      <c r="E10" s="46" t="s">
        <v>71</v>
      </c>
      <c r="F10" s="46" t="s">
        <v>72</v>
      </c>
      <c r="G10" s="46" t="s">
        <v>34</v>
      </c>
      <c r="H10" s="29"/>
      <c r="I10" s="5"/>
      <c r="J10" s="6"/>
      <c r="K10" s="88"/>
      <c r="L10" s="88"/>
      <c r="M10" s="89"/>
      <c r="N10" s="89"/>
      <c r="O10" s="89"/>
      <c r="P10" s="89"/>
      <c r="Q10" s="89"/>
      <c r="R10" s="89"/>
      <c r="S10" s="89"/>
      <c r="T10" s="89"/>
    </row>
    <row r="11" spans="1:20" customFormat="1" ht="14.45">
      <c r="A11" s="22"/>
      <c r="B11" s="48"/>
      <c r="C11" s="37"/>
      <c r="D11" s="37"/>
      <c r="E11" s="37"/>
      <c r="F11" s="59"/>
      <c r="G11" s="59"/>
      <c r="H11" s="29"/>
      <c r="I11" s="5"/>
      <c r="J11" s="6"/>
      <c r="K11" s="88"/>
      <c r="L11" s="88"/>
      <c r="M11" s="89"/>
      <c r="N11" s="89"/>
      <c r="O11" s="89"/>
      <c r="P11" s="89"/>
      <c r="Q11" s="89"/>
      <c r="R11" s="89"/>
      <c r="S11" s="89"/>
      <c r="T11" s="89"/>
    </row>
    <row r="12" spans="1:20" customFormat="1" ht="14.45">
      <c r="A12" s="22"/>
      <c r="B12" s="48"/>
      <c r="C12" s="55" t="s">
        <v>36</v>
      </c>
      <c r="D12" s="37"/>
      <c r="E12" s="37"/>
      <c r="F12" s="59"/>
      <c r="G12" s="59"/>
      <c r="H12" s="29"/>
      <c r="I12" s="5"/>
      <c r="J12" s="6"/>
      <c r="K12" s="88"/>
      <c r="L12" s="88"/>
      <c r="M12" s="89"/>
      <c r="N12" s="89"/>
      <c r="O12" s="89"/>
      <c r="P12" s="89"/>
      <c r="Q12" s="89"/>
      <c r="R12" s="89"/>
      <c r="S12" s="89"/>
      <c r="T12" s="89"/>
    </row>
    <row r="13" spans="1:20" customFormat="1" ht="14.45">
      <c r="A13" s="22"/>
      <c r="B13" s="48"/>
      <c r="C13" s="37"/>
      <c r="D13" s="37"/>
      <c r="E13" s="37"/>
      <c r="F13" s="59"/>
      <c r="G13" s="59"/>
      <c r="H13" s="29"/>
      <c r="I13" s="5"/>
      <c r="J13" s="6"/>
      <c r="K13" s="88"/>
      <c r="L13" s="88"/>
      <c r="M13" s="89"/>
      <c r="N13" s="89"/>
      <c r="O13" s="89"/>
      <c r="P13" s="89"/>
      <c r="Q13" s="89"/>
      <c r="R13" s="89"/>
      <c r="S13" s="89"/>
      <c r="T13" s="89"/>
    </row>
    <row r="14" spans="1:20" customFormat="1" ht="14.45">
      <c r="A14" s="22"/>
      <c r="B14" s="48"/>
      <c r="C14" s="37" t="s">
        <v>163</v>
      </c>
      <c r="D14" s="37">
        <v>1</v>
      </c>
      <c r="E14" s="37" t="s">
        <v>74</v>
      </c>
      <c r="F14" s="59">
        <v>1975045</v>
      </c>
      <c r="G14" s="59">
        <f>D14*F14</f>
        <v>1975045</v>
      </c>
      <c r="H14" s="29"/>
      <c r="I14" s="5"/>
      <c r="J14" s="6"/>
      <c r="K14" s="88"/>
      <c r="L14" s="88"/>
      <c r="M14" s="89"/>
      <c r="N14" s="89"/>
      <c r="O14" s="89"/>
      <c r="P14" s="89"/>
      <c r="Q14" s="89"/>
      <c r="R14" s="89"/>
      <c r="S14" s="89"/>
      <c r="T14" s="89"/>
    </row>
    <row r="15" spans="1:20" customFormat="1" ht="14.45">
      <c r="A15" s="22"/>
      <c r="B15" s="62"/>
      <c r="C15" s="37"/>
      <c r="D15" s="37"/>
      <c r="E15" s="37"/>
      <c r="F15" s="59"/>
      <c r="G15" s="59"/>
      <c r="H15" s="29"/>
      <c r="I15" s="5"/>
      <c r="J15" s="6"/>
      <c r="K15" s="88"/>
      <c r="L15" s="88"/>
      <c r="M15" s="89"/>
      <c r="N15" s="89"/>
      <c r="O15" s="89"/>
      <c r="P15" s="89"/>
      <c r="Q15" s="89"/>
      <c r="R15" s="89"/>
      <c r="S15" s="89"/>
      <c r="T15" s="89"/>
    </row>
    <row r="16" spans="1:20" customFormat="1" ht="14.45">
      <c r="A16" s="22"/>
      <c r="B16" s="62"/>
      <c r="C16" s="37"/>
      <c r="D16" s="37"/>
      <c r="E16" s="37"/>
      <c r="F16" s="59"/>
      <c r="G16" s="59"/>
      <c r="H16" s="29"/>
      <c r="I16" s="5"/>
      <c r="J16" s="6"/>
      <c r="K16" s="88"/>
      <c r="L16" s="88"/>
      <c r="M16" s="89"/>
      <c r="N16" s="89"/>
      <c r="O16" s="89"/>
      <c r="P16" s="89"/>
      <c r="Q16" s="89"/>
      <c r="R16" s="89"/>
      <c r="S16" s="89"/>
      <c r="T16" s="89"/>
    </row>
    <row r="17" spans="1:20" customFormat="1" ht="14.45">
      <c r="A17" s="22"/>
      <c r="B17" s="62"/>
      <c r="C17" s="37"/>
      <c r="D17" s="37"/>
      <c r="E17" s="37"/>
      <c r="F17" s="59"/>
      <c r="G17" s="59"/>
      <c r="H17" s="29"/>
      <c r="I17" s="5"/>
      <c r="J17" s="6"/>
      <c r="K17" s="88"/>
      <c r="L17" s="88"/>
      <c r="M17" s="89"/>
      <c r="N17" s="89"/>
      <c r="O17" s="89"/>
      <c r="P17" s="89"/>
      <c r="Q17" s="89"/>
      <c r="R17" s="89"/>
      <c r="S17" s="89"/>
      <c r="T17" s="89"/>
    </row>
    <row r="18" spans="1:20" customFormat="1" ht="15" customHeight="1">
      <c r="A18" s="22"/>
      <c r="B18" s="25"/>
      <c r="C18" s="85"/>
      <c r="D18" s="81"/>
      <c r="E18" s="81"/>
      <c r="F18" s="86" t="s">
        <v>85</v>
      </c>
      <c r="G18" s="60">
        <f>SUM(G14:G17)</f>
        <v>1975045</v>
      </c>
      <c r="H18" s="29"/>
      <c r="K18" s="89"/>
      <c r="L18" s="89"/>
      <c r="M18" s="90"/>
      <c r="N18" s="89"/>
      <c r="O18" s="89"/>
      <c r="P18" s="89"/>
      <c r="Q18" s="89"/>
      <c r="R18" s="89"/>
      <c r="S18" s="89"/>
      <c r="T18" s="89"/>
    </row>
    <row r="19" spans="1:20" customFormat="1" ht="15" customHeight="1">
      <c r="A19" s="22"/>
      <c r="B19" s="30"/>
      <c r="C19" s="32"/>
      <c r="D19" s="32"/>
      <c r="E19" s="32"/>
      <c r="F19" s="61"/>
      <c r="G19" s="61"/>
      <c r="H19" s="29"/>
      <c r="K19" s="89"/>
      <c r="L19" s="89"/>
      <c r="M19" s="90"/>
      <c r="N19" s="89"/>
      <c r="O19" s="89"/>
      <c r="P19" s="89"/>
      <c r="Q19" s="89"/>
      <c r="R19" s="89"/>
      <c r="S19" s="89"/>
      <c r="T19" s="89"/>
    </row>
    <row r="20" spans="1:20" customFormat="1" ht="15" customHeight="1">
      <c r="A20" s="22"/>
      <c r="B20" s="24"/>
      <c r="C20" s="50"/>
      <c r="D20" s="50"/>
      <c r="E20" s="50"/>
      <c r="F20" s="50"/>
      <c r="G20" s="50"/>
      <c r="H20" s="29"/>
      <c r="K20" s="89"/>
      <c r="L20" s="89"/>
      <c r="M20" s="90"/>
      <c r="N20" s="89"/>
      <c r="O20" s="89"/>
      <c r="P20" s="89"/>
      <c r="Q20" s="89"/>
      <c r="R20" s="89"/>
      <c r="S20" s="89"/>
      <c r="T20" s="89"/>
    </row>
    <row r="21" spans="1:20">
      <c r="C21" s="14"/>
      <c r="D21" s="14"/>
      <c r="E21" s="14"/>
      <c r="F21" s="14"/>
      <c r="G21" s="14"/>
      <c r="H21" s="12"/>
      <c r="J21"/>
      <c r="M21" s="90"/>
    </row>
    <row r="22" spans="1:20">
      <c r="C22" s="14"/>
      <c r="D22" s="14"/>
      <c r="E22" s="14"/>
      <c r="F22" s="14"/>
      <c r="G22" s="14"/>
      <c r="H22" s="12"/>
      <c r="J22"/>
      <c r="M22" s="90"/>
    </row>
    <row r="23" spans="1:20">
      <c r="C23" s="14"/>
      <c r="D23" s="14"/>
      <c r="E23" s="14"/>
      <c r="F23" s="14"/>
      <c r="G23" s="14"/>
      <c r="H23" s="12"/>
      <c r="J23"/>
      <c r="M23" s="90"/>
    </row>
    <row r="24" spans="1:20">
      <c r="C24" s="14"/>
      <c r="D24" s="14"/>
      <c r="E24" s="14"/>
      <c r="F24" s="14"/>
      <c r="G24" s="14"/>
      <c r="H24" s="12"/>
      <c r="J24"/>
      <c r="M24" s="90"/>
    </row>
    <row r="25" spans="1:20">
      <c r="C25" s="14"/>
      <c r="D25" s="14"/>
      <c r="E25" s="14"/>
      <c r="F25" s="14"/>
      <c r="G25" s="14"/>
      <c r="H25" s="12"/>
      <c r="J25"/>
      <c r="M25" s="90"/>
    </row>
    <row r="26" spans="1:20">
      <c r="C26" s="14"/>
      <c r="D26" s="14"/>
      <c r="E26" s="14"/>
      <c r="F26" s="14"/>
      <c r="G26" s="14"/>
      <c r="H26" s="12"/>
      <c r="J26"/>
      <c r="M26" s="90"/>
    </row>
    <row r="27" spans="1:20">
      <c r="C27" s="14"/>
      <c r="D27" s="14"/>
      <c r="E27" s="14"/>
      <c r="F27" s="14"/>
      <c r="G27" s="14"/>
      <c r="H27" s="12"/>
      <c r="M27" s="90"/>
    </row>
    <row r="28" spans="1:20">
      <c r="C28" s="14"/>
      <c r="D28" s="14"/>
      <c r="E28" s="14"/>
      <c r="F28" s="14"/>
      <c r="G28" s="14"/>
      <c r="H28" s="12"/>
      <c r="M28" s="90"/>
    </row>
  </sheetData>
  <mergeCells count="1">
    <mergeCell ref="D9:G9"/>
  </mergeCells>
  <pageMargins left="0.43307086614173229" right="0.31496062992125984" top="0.35433070866141736" bottom="0.74803149606299213" header="0.31496062992125984" footer="0.31496062992125984"/>
  <pageSetup paperSize="9" scale="82" fitToHeight="0" orientation="portrait" r:id="rId1"/>
  <headerFooter>
    <oddFooter>&amp;L&amp;8&amp;F&amp;C&amp;8Page &amp;P of &amp;N&amp;R&amp;8Report Date: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4A08-C5A8-4121-87F6-99F1A87AC024}">
  <sheetPr>
    <tabColor rgb="FFFF0000"/>
  </sheetPr>
  <dimension ref="A1"/>
  <sheetViews>
    <sheetView workbookViewId="0">
      <selection activeCell="A5" sqref="A5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2572-4861-4943-af28-0ce77391e003">
      <Terms xmlns="http://schemas.microsoft.com/office/infopath/2007/PartnerControls"/>
    </lcf76f155ced4ddcb4097134ff3c332f>
    <Comments xmlns="9f752572-4861-4943-af28-0ce77391e003" xsi:nil="true"/>
    <TaxCatchAll xmlns="45a2aa9c-c011-4d48-9e92-81fe2d297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9CA5F4211144BA3395451C97CB0A1" ma:contentTypeVersion="15" ma:contentTypeDescription="Create a new document." ma:contentTypeScope="" ma:versionID="5acab2b48b6180233ee537a38abf4332">
  <xsd:schema xmlns:xsd="http://www.w3.org/2001/XMLSchema" xmlns:xs="http://www.w3.org/2001/XMLSchema" xmlns:p="http://schemas.microsoft.com/office/2006/metadata/properties" xmlns:ns2="9f752572-4861-4943-af28-0ce77391e003" xmlns:ns3="45a2aa9c-c011-4d48-9e92-81fe2d297dc2" targetNamespace="http://schemas.microsoft.com/office/2006/metadata/properties" ma:root="true" ma:fieldsID="8e22972844cd2fb3b65d1e10574f9a8c" ns2:_="" ns3:_="">
    <xsd:import namespace="9f752572-4861-4943-af28-0ce77391e003"/>
    <xsd:import namespace="45a2aa9c-c011-4d48-9e92-81fe2d297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Comme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2572-4861-4943-af28-0ce77391e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aa9c-c011-4d48-9e92-81fe2d297d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65fdda-dbb3-4120-ad43-8ac42c8f119c}" ma:internalName="TaxCatchAll" ma:showField="CatchAllData" ma:web="45a2aa9c-c011-4d48-9e92-81fe2d297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3290F9-AFF5-41B3-BBA4-0F5ED57A532F}"/>
</file>

<file path=customXml/itemProps2.xml><?xml version="1.0" encoding="utf-8"?>
<ds:datastoreItem xmlns:ds="http://schemas.openxmlformats.org/officeDocument/2006/customXml" ds:itemID="{112ECDD2-8FA1-40FA-9C92-D7C5D560FA64}"/>
</file>

<file path=customXml/itemProps3.xml><?xml version="1.0" encoding="utf-8"?>
<ds:datastoreItem xmlns:ds="http://schemas.openxmlformats.org/officeDocument/2006/customXml" ds:itemID="{51D78246-2FEC-476F-AC42-9EF7DF127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Kye Clark</dc:creator>
  <cp:keywords/>
  <dc:description/>
  <cp:lastModifiedBy>Tao Li0056</cp:lastModifiedBy>
  <cp:revision/>
  <dcterms:created xsi:type="dcterms:W3CDTF">2021-03-15T14:04:59Z</dcterms:created>
  <dcterms:modified xsi:type="dcterms:W3CDTF">2026-08-20T09:38:37Z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0x01010055C9CA5F4211144BA3395451C97CB0A1</vt:lpwstr>
  </property>
  <property fmtid="{D5CDD505-2E9C-101B-9397-08002B2CF9AE}" pid="3" name="MediaServiceImageTags">
    <vt:lpwstr/>
  </property>
</Properties>
</file>